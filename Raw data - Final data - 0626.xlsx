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olin/Desktop/Postdoc in LSU/Project - Ribbed Mussels Ecology/Submission - Journal of Applied Ecology - 0304 - R2/Data &amp; Code/"/>
    </mc:Choice>
  </mc:AlternateContent>
  <xr:revisionPtr revIDLastSave="0" documentId="13_ncr:1_{5A90C941-9B79-7A46-9F95-A71457E1A9F8}" xr6:coauthVersionLast="47" xr6:coauthVersionMax="47" xr10:uidLastSave="{00000000-0000-0000-0000-000000000000}"/>
  <bookViews>
    <workbookView xWindow="0" yWindow="600" windowWidth="38400" windowHeight="21000" xr2:uid="{4167E666-EC08-F746-82BE-D2CDA80C49D7}"/>
  </bookViews>
  <sheets>
    <sheet name="Sheet1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1" i="14" l="1"/>
  <c r="Z80" i="14"/>
  <c r="Z79" i="14"/>
  <c r="Z78" i="14"/>
  <c r="Z77" i="14"/>
  <c r="Z76" i="14"/>
  <c r="Z75" i="14"/>
  <c r="Z74" i="14"/>
  <c r="Z73" i="14"/>
  <c r="Z70" i="14"/>
  <c r="Z69" i="14"/>
  <c r="Z68" i="14"/>
  <c r="Z66" i="14"/>
  <c r="Z65" i="14"/>
  <c r="Z64" i="14"/>
  <c r="Z63" i="14"/>
  <c r="Z62" i="14"/>
  <c r="Z61" i="14"/>
  <c r="Z60" i="14"/>
  <c r="Z59" i="14"/>
  <c r="Z58" i="14"/>
  <c r="Z57" i="14"/>
  <c r="Z56" i="14"/>
  <c r="Z54" i="14"/>
  <c r="Z51" i="14"/>
  <c r="Z50" i="14"/>
  <c r="Z49" i="14"/>
  <c r="Z48" i="14"/>
  <c r="Z47" i="14"/>
  <c r="Z46" i="14"/>
  <c r="Z45" i="14"/>
  <c r="Z44" i="14"/>
  <c r="Z43" i="14"/>
  <c r="Z42" i="14"/>
  <c r="Z41" i="14"/>
  <c r="Z40" i="14"/>
  <c r="Z38" i="14"/>
  <c r="Z37" i="14"/>
  <c r="Z36" i="14"/>
  <c r="Z35" i="14"/>
  <c r="Z34" i="14"/>
  <c r="Z33" i="14"/>
  <c r="Z32" i="14"/>
  <c r="Z31" i="14"/>
  <c r="Z30" i="14"/>
  <c r="Z29" i="14"/>
  <c r="Z28" i="14"/>
  <c r="Z27" i="14"/>
  <c r="Z26" i="14"/>
  <c r="Z25" i="14"/>
  <c r="Z24" i="14"/>
  <c r="Z23" i="14"/>
  <c r="Z22" i="14"/>
  <c r="Z21" i="14"/>
  <c r="Z20" i="14"/>
  <c r="Z19" i="14"/>
  <c r="Z18" i="14"/>
  <c r="Z17" i="14"/>
  <c r="Z16" i="14"/>
  <c r="Z15" i="14"/>
  <c r="Z14" i="14"/>
  <c r="Z13" i="14"/>
  <c r="Z12" i="14"/>
  <c r="Z11" i="14"/>
  <c r="Z10" i="14"/>
  <c r="Z9" i="14"/>
  <c r="Z8" i="14"/>
  <c r="Z7" i="14"/>
  <c r="Z6" i="14"/>
  <c r="Z5" i="14"/>
  <c r="Z4" i="14"/>
  <c r="Z3" i="14"/>
  <c r="Z2" i="14"/>
  <c r="W81" i="14"/>
  <c r="W80" i="14"/>
  <c r="W79" i="14"/>
  <c r="W78" i="14"/>
  <c r="W77" i="14"/>
  <c r="W76" i="14"/>
  <c r="W75" i="14"/>
  <c r="W74" i="14"/>
  <c r="W73" i="14"/>
  <c r="W70" i="14"/>
  <c r="W69" i="14"/>
  <c r="W68" i="14"/>
  <c r="W66" i="14"/>
  <c r="W65" i="14"/>
  <c r="W64" i="14"/>
  <c r="W63" i="14"/>
  <c r="W62" i="14"/>
  <c r="W61" i="14"/>
  <c r="W60" i="14"/>
  <c r="W59" i="14"/>
  <c r="W58" i="14"/>
  <c r="W57" i="14"/>
  <c r="W56" i="14"/>
  <c r="W54" i="14"/>
  <c r="W51" i="14"/>
  <c r="W50" i="14"/>
  <c r="W49" i="14"/>
  <c r="W48" i="14"/>
  <c r="W47" i="14"/>
  <c r="W46" i="14"/>
  <c r="W45" i="14"/>
  <c r="W44" i="14"/>
  <c r="W43" i="14"/>
  <c r="W42" i="14"/>
  <c r="W41" i="14"/>
  <c r="W40" i="14"/>
  <c r="W38" i="14"/>
  <c r="W37" i="14"/>
  <c r="W36" i="14"/>
  <c r="W35" i="14"/>
  <c r="W34" i="14"/>
  <c r="W33" i="14"/>
  <c r="W32" i="14"/>
  <c r="W31" i="14"/>
  <c r="W30" i="14"/>
  <c r="W29" i="14"/>
  <c r="W28" i="14"/>
  <c r="W27" i="14"/>
  <c r="W26" i="14"/>
  <c r="W25" i="14"/>
  <c r="W24" i="14"/>
  <c r="W23" i="14"/>
  <c r="W22" i="14"/>
  <c r="W21" i="14"/>
  <c r="W20" i="14"/>
  <c r="W19" i="14"/>
  <c r="W18" i="14"/>
  <c r="W17" i="14"/>
  <c r="W16" i="14"/>
  <c r="W15" i="14"/>
  <c r="W14" i="14"/>
  <c r="W13" i="14"/>
  <c r="W12" i="14"/>
  <c r="W11" i="14"/>
  <c r="W10" i="14"/>
  <c r="W9" i="14"/>
  <c r="W8" i="14"/>
  <c r="W7" i="14"/>
  <c r="W6" i="14"/>
  <c r="W5" i="14"/>
  <c r="W4" i="14"/>
  <c r="W3" i="14"/>
  <c r="W2" i="14"/>
  <c r="T3" i="14"/>
  <c r="T4" i="14"/>
  <c r="T5" i="14"/>
  <c r="T6" i="14"/>
  <c r="T7" i="14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40" i="14"/>
  <c r="T41" i="14"/>
  <c r="T42" i="14"/>
  <c r="T43" i="14"/>
  <c r="T44" i="14"/>
  <c r="T45" i="14"/>
  <c r="T46" i="14"/>
  <c r="T47" i="14"/>
  <c r="T48" i="14"/>
  <c r="T49" i="14"/>
  <c r="T50" i="14"/>
  <c r="T51" i="14"/>
  <c r="T54" i="14"/>
  <c r="T56" i="14"/>
  <c r="T57" i="14"/>
  <c r="T58" i="14"/>
  <c r="T59" i="14"/>
  <c r="T60" i="14"/>
  <c r="T61" i="14"/>
  <c r="T62" i="14"/>
  <c r="T63" i="14"/>
  <c r="T64" i="14"/>
  <c r="T65" i="14"/>
  <c r="T66" i="14"/>
  <c r="T68" i="14"/>
  <c r="T69" i="14"/>
  <c r="T70" i="14"/>
  <c r="T73" i="14"/>
  <c r="T74" i="14"/>
  <c r="T75" i="14"/>
  <c r="T76" i="14"/>
  <c r="T77" i="14"/>
  <c r="T78" i="14"/>
  <c r="T79" i="14"/>
  <c r="T80" i="14"/>
  <c r="T81" i="14"/>
  <c r="T2" i="14"/>
  <c r="N75" i="14" l="1"/>
  <c r="N81" i="14"/>
  <c r="N80" i="14"/>
  <c r="N79" i="14"/>
  <c r="N78" i="14"/>
  <c r="N77" i="14"/>
  <c r="N76" i="14"/>
  <c r="N74" i="14"/>
  <c r="N73" i="14"/>
  <c r="N70" i="14"/>
  <c r="N69" i="14"/>
  <c r="N68" i="14"/>
  <c r="N66" i="14"/>
  <c r="N65" i="14"/>
  <c r="N64" i="14"/>
  <c r="N63" i="14"/>
  <c r="N62" i="14"/>
  <c r="N61" i="14"/>
  <c r="N60" i="14"/>
  <c r="N59" i="14"/>
  <c r="N58" i="14"/>
  <c r="N57" i="14"/>
  <c r="N56" i="14"/>
  <c r="N54" i="14"/>
  <c r="N51" i="14"/>
  <c r="N50" i="14"/>
  <c r="N49" i="14"/>
  <c r="N48" i="14"/>
  <c r="N47" i="14"/>
  <c r="N46" i="14"/>
  <c r="N45" i="14"/>
  <c r="N44" i="14"/>
  <c r="N43" i="14"/>
  <c r="N42" i="14"/>
  <c r="N41" i="14"/>
  <c r="N40" i="14"/>
  <c r="N38" i="14"/>
  <c r="N37" i="14"/>
  <c r="N36" i="14"/>
  <c r="N35" i="14"/>
  <c r="N34" i="14"/>
  <c r="N33" i="14"/>
  <c r="N32" i="14"/>
  <c r="N31" i="14"/>
  <c r="N30" i="14"/>
  <c r="N29" i="14"/>
  <c r="N28" i="14"/>
  <c r="N27" i="14"/>
  <c r="N26" i="14"/>
  <c r="N25" i="14"/>
  <c r="N24" i="14"/>
  <c r="N23" i="14"/>
  <c r="N22" i="14"/>
  <c r="N21" i="14"/>
  <c r="N20" i="14"/>
  <c r="N19" i="14"/>
  <c r="N18" i="14"/>
  <c r="N17" i="14"/>
  <c r="N16" i="14"/>
  <c r="N15" i="14"/>
  <c r="N14" i="14"/>
  <c r="N13" i="14"/>
  <c r="N12" i="14"/>
  <c r="N11" i="14"/>
  <c r="N10" i="14"/>
  <c r="N9" i="14"/>
  <c r="N8" i="14"/>
  <c r="N7" i="14"/>
  <c r="N6" i="14"/>
  <c r="N5" i="14"/>
  <c r="N4" i="14"/>
  <c r="N3" i="14"/>
  <c r="N2" i="14"/>
</calcChain>
</file>

<file path=xl/sharedStrings.xml><?xml version="1.0" encoding="utf-8"?>
<sst xmlns="http://schemas.openxmlformats.org/spreadsheetml/2006/main" count="268" uniqueCount="114">
  <si>
    <t>B</t>
  </si>
  <si>
    <t>OR</t>
  </si>
  <si>
    <t>P</t>
  </si>
  <si>
    <t>Y</t>
  </si>
  <si>
    <t>BL</t>
  </si>
  <si>
    <t>1-B-B</t>
  </si>
  <si>
    <t>2-B-B</t>
  </si>
  <si>
    <t>3-B-B</t>
  </si>
  <si>
    <t>4-B-B</t>
  </si>
  <si>
    <t>1-B-Y</t>
  </si>
  <si>
    <t>1-B-OR</t>
  </si>
  <si>
    <t>1-B-P</t>
  </si>
  <si>
    <t>1-BL-Y</t>
  </si>
  <si>
    <t>1-BL-OR</t>
  </si>
  <si>
    <t>1-BL-P</t>
  </si>
  <si>
    <t>1-BL-B</t>
  </si>
  <si>
    <t>1-OR-P</t>
  </si>
  <si>
    <t>1-OR-Y</t>
  </si>
  <si>
    <t>1-OR-B</t>
  </si>
  <si>
    <t>1-OR-OR</t>
  </si>
  <si>
    <t>1-P-B</t>
  </si>
  <si>
    <t>1-P-Y</t>
  </si>
  <si>
    <t>1-P-P</t>
  </si>
  <si>
    <t>1-P-OR</t>
  </si>
  <si>
    <t>1-Y-P</t>
  </si>
  <si>
    <t>1-Y-OR</t>
  </si>
  <si>
    <t>1-Y-Y</t>
  </si>
  <si>
    <t>1-Y-B</t>
  </si>
  <si>
    <t>2-B-Y</t>
  </si>
  <si>
    <t>2-B-P</t>
  </si>
  <si>
    <t>2-B-OR</t>
  </si>
  <si>
    <t>2-BL-OR</t>
  </si>
  <si>
    <t>2-BL-Y</t>
  </si>
  <si>
    <t>2-BL-B</t>
  </si>
  <si>
    <t>2-BL-P</t>
  </si>
  <si>
    <t>2-OR-Y</t>
  </si>
  <si>
    <t>2-OR-OR</t>
  </si>
  <si>
    <t>2-P-Y</t>
  </si>
  <si>
    <t>2-P-B</t>
  </si>
  <si>
    <t>2-P-OR</t>
  </si>
  <si>
    <t>2-Y-Y</t>
  </si>
  <si>
    <t>2-Y-B</t>
  </si>
  <si>
    <t>2-Y-OR</t>
  </si>
  <si>
    <t>3-B-OR</t>
  </si>
  <si>
    <t>3-B-Y</t>
  </si>
  <si>
    <t>3-B-P</t>
  </si>
  <si>
    <t>3-BL-P</t>
  </si>
  <si>
    <t>3-BL-Y</t>
  </si>
  <si>
    <t>3-BL-OR</t>
  </si>
  <si>
    <t>3-BL-B</t>
  </si>
  <si>
    <t>3-OR-B</t>
  </si>
  <si>
    <t>3-OR-OR</t>
  </si>
  <si>
    <t>3-OR-Y</t>
  </si>
  <si>
    <t>3-P-Y</t>
  </si>
  <si>
    <t>3-P-OR</t>
  </si>
  <si>
    <t>3-P-P</t>
  </si>
  <si>
    <t>3-P-B</t>
  </si>
  <si>
    <t>3-Y-Y</t>
  </si>
  <si>
    <t>3-Y-P</t>
  </si>
  <si>
    <t>3-Y-OR</t>
  </si>
  <si>
    <t>4-B-Y</t>
  </si>
  <si>
    <t>4-B-OR</t>
  </si>
  <si>
    <t>4-B-P</t>
  </si>
  <si>
    <t>4-BL-OR</t>
  </si>
  <si>
    <t>4-BL-Y</t>
  </si>
  <si>
    <t>4-BL-P</t>
  </si>
  <si>
    <t>4-BL-B</t>
  </si>
  <si>
    <t>4-OR-Y</t>
  </si>
  <si>
    <t>4-OR-B</t>
  </si>
  <si>
    <t>4-OR-OR</t>
  </si>
  <si>
    <t>4-OR-P</t>
  </si>
  <si>
    <t>4-P-Y</t>
  </si>
  <si>
    <t>4-P-B</t>
  </si>
  <si>
    <t>4-P-OR</t>
  </si>
  <si>
    <t>4-P-P</t>
  </si>
  <si>
    <t>4-Y-OR</t>
  </si>
  <si>
    <t>4-Y-Y</t>
  </si>
  <si>
    <t>4-Y-P</t>
  </si>
  <si>
    <t>2-P-P</t>
  </si>
  <si>
    <t>3-Y-B</t>
  </si>
  <si>
    <t>4-Y-B</t>
  </si>
  <si>
    <t>2-Y-P</t>
  </si>
  <si>
    <t>2-OR-B</t>
  </si>
  <si>
    <t>2-OR-P</t>
  </si>
  <si>
    <t>3-OR-P</t>
  </si>
  <si>
    <t>P</t>
    <phoneticPr fontId="2" type="noConversion"/>
  </si>
  <si>
    <t>lnSRR</t>
    <phoneticPr fontId="2" type="noConversion"/>
  </si>
  <si>
    <t>Level</t>
    <phoneticPr fontId="2" type="noConversion"/>
  </si>
  <si>
    <t>Organ</t>
    <phoneticPr fontId="2" type="noConversion"/>
  </si>
  <si>
    <t>Elevation</t>
    <phoneticPr fontId="2" type="noConversion"/>
  </si>
  <si>
    <t>Inundation_percentage</t>
    <phoneticPr fontId="2" type="noConversion"/>
  </si>
  <si>
    <t>Density_no.rec</t>
    <phoneticPr fontId="2" type="noConversion"/>
  </si>
  <si>
    <t>Below_biomass</t>
    <phoneticPr fontId="2" type="noConversion"/>
  </si>
  <si>
    <t>Above_biomass</t>
    <phoneticPr fontId="2" type="noConversion"/>
  </si>
  <si>
    <t>Plant_biomass</t>
    <phoneticPr fontId="2" type="noConversion"/>
  </si>
  <si>
    <t>Live_stems</t>
    <phoneticPr fontId="2" type="noConversion"/>
  </si>
  <si>
    <t>Live_leaves</t>
    <phoneticPr fontId="2" type="noConversion"/>
  </si>
  <si>
    <t>Height_average</t>
    <phoneticPr fontId="2" type="noConversion"/>
  </si>
  <si>
    <t>Flowers</t>
    <phoneticPr fontId="2" type="noConversion"/>
  </si>
  <si>
    <t>New.growth</t>
    <phoneticPr fontId="2" type="noConversion"/>
  </si>
  <si>
    <t>Stem_unit</t>
    <phoneticPr fontId="2" type="noConversion"/>
  </si>
  <si>
    <t>Treat</t>
    <phoneticPr fontId="2" type="noConversion"/>
  </si>
  <si>
    <t>Below_CN</t>
    <phoneticPr fontId="2" type="noConversion"/>
  </si>
  <si>
    <t>Above_CN</t>
    <phoneticPr fontId="2" type="noConversion"/>
  </si>
  <si>
    <t>Above_C</t>
    <phoneticPr fontId="2" type="noConversion"/>
  </si>
  <si>
    <t>Below_C</t>
    <phoneticPr fontId="2" type="noConversion"/>
  </si>
  <si>
    <t>Below_N</t>
    <phoneticPr fontId="2" type="noConversion"/>
  </si>
  <si>
    <t>Above_N</t>
    <phoneticPr fontId="2" type="noConversion"/>
  </si>
  <si>
    <t>Soil_water_content</t>
    <phoneticPr fontId="2" type="noConversion"/>
  </si>
  <si>
    <t>Mussel_biomass</t>
    <phoneticPr fontId="2" type="noConversion"/>
  </si>
  <si>
    <t>Mussel_density</t>
    <phoneticPr fontId="2" type="noConversion"/>
  </si>
  <si>
    <t>Mussel_m2</t>
    <phoneticPr fontId="2" type="noConversion"/>
  </si>
  <si>
    <t>Soil_organic_matter</t>
    <phoneticPr fontId="2" type="noConversion"/>
  </si>
  <si>
    <t>Sample_ID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</si>
</sst>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_ "/>
    <numFmt numFmtId="177" formatCode="0.0"/>
    <numFmt numFmtId="178" formatCode="0.000"/>
    <numFmt numFmtId="179" formatCode="0.00_ "/>
  </numFmts>
  <fonts count="7">
    <font>
      <sz val="12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2"/>
      <scheme val="minor"/>
    </font>
    <font>
      <sz val="12"/>
      <color rgb="FFFF0000"/>
      <name val="等线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5" fillId="0" borderId="1" xfId="0" applyFont="1" applyBorder="1" applyAlignment="1">
      <alignment horizontal="left" vertical="top"/>
    </xf>
    <xf numFmtId="176" fontId="5" fillId="0" borderId="1" xfId="0" applyNumberFormat="1" applyFont="1" applyBorder="1" applyAlignment="1">
      <alignment horizontal="left" vertical="top"/>
    </xf>
    <xf numFmtId="179" fontId="5" fillId="0" borderId="1" xfId="0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176" fontId="6" fillId="0" borderId="1" xfId="0" applyNumberFormat="1" applyFont="1" applyBorder="1" applyAlignment="1">
      <alignment horizontal="left" vertical="top"/>
    </xf>
    <xf numFmtId="179" fontId="6" fillId="0" borderId="1" xfId="0" applyNumberFormat="1" applyFont="1" applyBorder="1" applyAlignment="1">
      <alignment horizontal="left" vertical="top"/>
    </xf>
    <xf numFmtId="177" fontId="6" fillId="0" borderId="1" xfId="0" applyNumberFormat="1" applyFont="1" applyBorder="1" applyAlignment="1">
      <alignment horizontal="left" vertical="top"/>
    </xf>
    <xf numFmtId="178" fontId="6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left" vertical="top"/>
    </xf>
    <xf numFmtId="2" fontId="6" fillId="0" borderId="1" xfId="0" applyNumberFormat="1" applyFont="1" applyBorder="1" applyAlignment="1">
      <alignment horizontal="left" vertical="top"/>
    </xf>
    <xf numFmtId="177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4" fillId="0" borderId="0" xfId="0" applyFont="1" applyAlignment="1">
      <alignment horizontal="left" vertical="top"/>
    </xf>
    <xf numFmtId="176" fontId="0" fillId="0" borderId="0" xfId="0" applyNumberFormat="1" applyAlignment="1">
      <alignment horizontal="left" vertical="top"/>
    </xf>
    <xf numFmtId="179" fontId="0" fillId="0" borderId="0" xfId="0" applyNumberFormat="1" applyAlignment="1">
      <alignment horizontal="left" vertical="top"/>
    </xf>
  </cellXfs>
  <cellStyles count="2">
    <cellStyle name="Normal 2" xfId="1" xr:uid="{04D2D0A4-3790-6745-93C1-A38ADA6421B7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FA37E-9798-C841-BCD1-26BF75FDE948}">
  <dimension ref="A1:AF81"/>
  <sheetViews>
    <sheetView tabSelected="1" zoomScale="106" workbookViewId="0"/>
  </sheetViews>
  <sheetFormatPr baseColWidth="10" defaultRowHeight="16"/>
  <cols>
    <col min="1" max="1" width="12.33203125" style="11" bestFit="1" customWidth="1"/>
    <col min="2" max="2" width="7.1640625" style="11" bestFit="1" customWidth="1"/>
    <col min="3" max="3" width="7.83203125" style="11" bestFit="1" customWidth="1"/>
    <col min="4" max="4" width="10.83203125" style="15" bestFit="1" customWidth="1"/>
    <col min="5" max="5" width="24.33203125" style="11" bestFit="1" customWidth="1"/>
    <col min="6" max="6" width="7.33203125" style="11" bestFit="1" customWidth="1"/>
    <col min="7" max="7" width="17.83203125" style="15" customWidth="1"/>
    <col min="8" max="8" width="17" style="11" bestFit="1" customWidth="1"/>
    <col min="9" max="9" width="13" style="11" customWidth="1"/>
    <col min="10" max="10" width="20.1640625" style="16" bestFit="1" customWidth="1"/>
    <col min="11" max="11" width="17.33203125" style="16" customWidth="1"/>
    <col min="12" max="12" width="17.6640625" style="16" bestFit="1" customWidth="1"/>
    <col min="13" max="13" width="16.33203125" style="16" bestFit="1" customWidth="1"/>
    <col min="14" max="14" width="9.5" style="16" bestFit="1" customWidth="1"/>
    <col min="15" max="15" width="12.83203125" style="16" customWidth="1"/>
    <col min="16" max="16" width="13.6640625" style="16" bestFit="1" customWidth="1"/>
    <col min="17" max="17" width="16.5" style="16" customWidth="1"/>
    <col min="18" max="18" width="9" style="11" bestFit="1" customWidth="1"/>
    <col min="19" max="19" width="12.83203125" style="11" bestFit="1" customWidth="1"/>
    <col min="20" max="20" width="15" style="17" bestFit="1" customWidth="1"/>
    <col min="21" max="21" width="15.6640625" style="11" bestFit="1" customWidth="1"/>
    <col min="22" max="22" width="18" style="11" bestFit="1" customWidth="1"/>
    <col min="23" max="23" width="18" style="11" customWidth="1"/>
    <col min="24" max="24" width="15.6640625" style="11" bestFit="1" customWidth="1"/>
    <col min="25" max="25" width="18.1640625" style="11" bestFit="1" customWidth="1"/>
    <col min="26" max="26" width="18.1640625" style="11" customWidth="1"/>
    <col min="27" max="27" width="21.1640625" style="16" bestFit="1" customWidth="1"/>
    <col min="28" max="28" width="22.33203125" style="16" bestFit="1" customWidth="1"/>
    <col min="29" max="29" width="18.1640625" style="11" customWidth="1"/>
    <col min="30" max="30" width="35.1640625" style="11" bestFit="1" customWidth="1"/>
    <col min="31" max="16384" width="10.83203125" style="11"/>
  </cols>
  <sheetData>
    <row r="1" spans="1:29" s="5" customFormat="1">
      <c r="A1" s="1" t="s">
        <v>113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101</v>
      </c>
      <c r="G1" s="1" t="s">
        <v>110</v>
      </c>
      <c r="H1" s="1" t="s">
        <v>91</v>
      </c>
      <c r="I1" s="1" t="s">
        <v>111</v>
      </c>
      <c r="J1" s="2" t="s">
        <v>109</v>
      </c>
      <c r="K1" s="2" t="s">
        <v>92</v>
      </c>
      <c r="L1" s="2" t="s">
        <v>93</v>
      </c>
      <c r="M1" s="2" t="s">
        <v>94</v>
      </c>
      <c r="N1" s="2" t="s">
        <v>86</v>
      </c>
      <c r="O1" s="2" t="s">
        <v>95</v>
      </c>
      <c r="P1" s="2" t="s">
        <v>96</v>
      </c>
      <c r="Q1" s="2" t="s">
        <v>97</v>
      </c>
      <c r="R1" s="1" t="s">
        <v>98</v>
      </c>
      <c r="S1" s="1" t="s">
        <v>99</v>
      </c>
      <c r="T1" s="3" t="s">
        <v>100</v>
      </c>
      <c r="U1" s="1" t="s">
        <v>105</v>
      </c>
      <c r="V1" s="1" t="s">
        <v>106</v>
      </c>
      <c r="W1" s="1" t="s">
        <v>102</v>
      </c>
      <c r="X1" s="1" t="s">
        <v>104</v>
      </c>
      <c r="Y1" s="1" t="s">
        <v>107</v>
      </c>
      <c r="Z1" s="1" t="s">
        <v>103</v>
      </c>
      <c r="AA1" s="2" t="s">
        <v>108</v>
      </c>
      <c r="AB1" s="2" t="s">
        <v>112</v>
      </c>
      <c r="AC1" s="4"/>
    </row>
    <row r="2" spans="1:29">
      <c r="A2" s="6" t="s">
        <v>15</v>
      </c>
      <c r="B2" s="6" t="s">
        <v>4</v>
      </c>
      <c r="C2" s="6">
        <v>1</v>
      </c>
      <c r="D2" s="6">
        <v>5</v>
      </c>
      <c r="E2" s="6">
        <v>0.25</v>
      </c>
      <c r="F2" s="6" t="s">
        <v>0</v>
      </c>
      <c r="G2" s="6">
        <v>8</v>
      </c>
      <c r="H2" s="6">
        <v>8</v>
      </c>
      <c r="I2" s="6">
        <v>1019</v>
      </c>
      <c r="J2" s="7">
        <v>946.01698580000004</v>
      </c>
      <c r="K2" s="7">
        <v>2005.352292</v>
      </c>
      <c r="L2" s="7">
        <v>4246.2538999999997</v>
      </c>
      <c r="M2" s="7">
        <v>6251.6061920000002</v>
      </c>
      <c r="N2" s="7">
        <f t="shared" ref="N2:N38" si="0">LN(L2/K2)</f>
        <v>0.75021740689261773</v>
      </c>
      <c r="O2" s="7">
        <v>1655.211415</v>
      </c>
      <c r="P2" s="7">
        <v>8912.6768520000005</v>
      </c>
      <c r="Q2" s="7">
        <v>58.34615385</v>
      </c>
      <c r="R2" s="6">
        <v>4</v>
      </c>
      <c r="S2" s="6">
        <v>10</v>
      </c>
      <c r="T2" s="8">
        <f>O2*78.539816/10000</f>
        <v>12.999999997519964</v>
      </c>
      <c r="U2" s="9">
        <v>43.77758</v>
      </c>
      <c r="V2" s="10">
        <v>0.80522539999999998</v>
      </c>
      <c r="W2" s="10">
        <f>U2/V2</f>
        <v>54.366864234536074</v>
      </c>
      <c r="X2" s="9">
        <v>40.305750000000003</v>
      </c>
      <c r="Y2" s="10">
        <v>0.94114019999999998</v>
      </c>
      <c r="Z2" s="10">
        <f>X2/Y2</f>
        <v>42.826509801621484</v>
      </c>
      <c r="AA2" s="7">
        <v>0.52682470981703722</v>
      </c>
      <c r="AB2" s="7">
        <v>9.5149990645074109E-2</v>
      </c>
    </row>
    <row r="3" spans="1:29">
      <c r="A3" s="6" t="s">
        <v>33</v>
      </c>
      <c r="B3" s="6" t="s">
        <v>4</v>
      </c>
      <c r="C3" s="6">
        <v>2</v>
      </c>
      <c r="D3" s="6">
        <v>5</v>
      </c>
      <c r="E3" s="6">
        <v>0.25</v>
      </c>
      <c r="F3" s="6" t="s">
        <v>0</v>
      </c>
      <c r="G3" s="6">
        <v>8</v>
      </c>
      <c r="H3" s="6">
        <v>6</v>
      </c>
      <c r="I3" s="6">
        <v>764</v>
      </c>
      <c r="J3" s="7">
        <v>720.6535854</v>
      </c>
      <c r="K3" s="7">
        <v>2165.780475</v>
      </c>
      <c r="L3" s="7">
        <v>3428.8341089999999</v>
      </c>
      <c r="M3" s="7">
        <v>5594.6145839999999</v>
      </c>
      <c r="N3" s="7">
        <f t="shared" si="0"/>
        <v>0.45943950045585746</v>
      </c>
      <c r="O3" s="7">
        <v>1400.5635050000001</v>
      </c>
      <c r="P3" s="7">
        <v>5602.2540209999997</v>
      </c>
      <c r="Q3" s="7">
        <v>55.31818182</v>
      </c>
      <c r="R3" s="6">
        <v>3</v>
      </c>
      <c r="S3" s="6">
        <v>8</v>
      </c>
      <c r="T3" s="8">
        <f t="shared" ref="T3:T66" si="1">O3*78.539816/10000</f>
        <v>10.99999999790151</v>
      </c>
      <c r="U3" s="9">
        <v>42.890540000000001</v>
      </c>
      <c r="V3" s="10">
        <v>0.85462000000000005</v>
      </c>
      <c r="W3" s="10">
        <f t="shared" ref="W3:W66" si="2">U3/V3</f>
        <v>50.186679459876906</v>
      </c>
      <c r="X3" s="9">
        <v>42.711359999999999</v>
      </c>
      <c r="Y3" s="10">
        <v>0.76296810000000004</v>
      </c>
      <c r="Z3" s="10">
        <f t="shared" ref="Z3:Z66" si="3">X3/Y3</f>
        <v>55.980531820399825</v>
      </c>
      <c r="AA3" s="7">
        <v>0.50227319062181452</v>
      </c>
      <c r="AB3" s="7">
        <v>8.1962848424027665E-2</v>
      </c>
    </row>
    <row r="4" spans="1:29">
      <c r="A4" s="6" t="s">
        <v>49</v>
      </c>
      <c r="B4" s="6" t="s">
        <v>4</v>
      </c>
      <c r="C4" s="6">
        <v>3</v>
      </c>
      <c r="D4" s="6">
        <v>5</v>
      </c>
      <c r="E4" s="6">
        <v>0.25</v>
      </c>
      <c r="F4" s="6" t="s">
        <v>0</v>
      </c>
      <c r="G4" s="6">
        <v>8</v>
      </c>
      <c r="H4" s="6">
        <v>6</v>
      </c>
      <c r="I4" s="6">
        <v>764</v>
      </c>
      <c r="J4" s="7">
        <v>351.41411590000001</v>
      </c>
      <c r="K4" s="7">
        <v>4248.8003790000002</v>
      </c>
      <c r="L4" s="7">
        <v>6014.7836349999998</v>
      </c>
      <c r="M4" s="7">
        <v>10263.58401</v>
      </c>
      <c r="N4" s="7">
        <f t="shared" si="0"/>
        <v>0.3475836985459001</v>
      </c>
      <c r="O4" s="7">
        <v>3055.7749210000002</v>
      </c>
      <c r="P4" s="7">
        <v>13114.36737</v>
      </c>
      <c r="Q4" s="7">
        <v>51.15</v>
      </c>
      <c r="R4" s="6">
        <v>7</v>
      </c>
      <c r="S4" s="6">
        <v>21</v>
      </c>
      <c r="T4" s="8">
        <f t="shared" si="1"/>
        <v>24.000000003275456</v>
      </c>
      <c r="U4" s="6">
        <v>42.15</v>
      </c>
      <c r="V4" s="6">
        <v>0.625</v>
      </c>
      <c r="W4" s="10">
        <f t="shared" si="2"/>
        <v>67.44</v>
      </c>
      <c r="X4" s="9">
        <v>40.664958404588468</v>
      </c>
      <c r="Y4" s="10">
        <v>0.7480639</v>
      </c>
      <c r="Z4" s="10">
        <f t="shared" si="3"/>
        <v>54.36027377419024</v>
      </c>
      <c r="AA4" s="7">
        <v>0.5027423522547303</v>
      </c>
      <c r="AB4" s="7">
        <v>7.8315676545527693E-2</v>
      </c>
    </row>
    <row r="5" spans="1:29">
      <c r="A5" s="6" t="s">
        <v>66</v>
      </c>
      <c r="B5" s="6" t="s">
        <v>4</v>
      </c>
      <c r="C5" s="6">
        <v>4</v>
      </c>
      <c r="D5" s="6">
        <v>5</v>
      </c>
      <c r="E5" s="6">
        <v>0.25</v>
      </c>
      <c r="F5" s="6" t="s">
        <v>0</v>
      </c>
      <c r="G5" s="6">
        <v>8</v>
      </c>
      <c r="H5" s="6">
        <v>8</v>
      </c>
      <c r="I5" s="6">
        <v>1019</v>
      </c>
      <c r="J5" s="7">
        <v>1398.017026</v>
      </c>
      <c r="K5" s="7">
        <v>4233.5215049999997</v>
      </c>
      <c r="L5" s="7">
        <v>3506.5017210000001</v>
      </c>
      <c r="M5" s="7">
        <v>7740.0232260000002</v>
      </c>
      <c r="N5" s="7">
        <f t="shared" si="0"/>
        <v>-0.18841527401106145</v>
      </c>
      <c r="O5" s="7">
        <v>2419.1551450000002</v>
      </c>
      <c r="P5" s="7">
        <v>11204.508040000001</v>
      </c>
      <c r="Q5" s="7">
        <v>54.414999999999999</v>
      </c>
      <c r="R5" s="6">
        <v>5</v>
      </c>
      <c r="S5" s="6">
        <v>16</v>
      </c>
      <c r="T5" s="8">
        <f t="shared" si="1"/>
        <v>18.999999996375333</v>
      </c>
      <c r="U5" s="9">
        <v>39.028210000000001</v>
      </c>
      <c r="V5" s="12">
        <v>0.76535750000000002</v>
      </c>
      <c r="W5" s="10">
        <f t="shared" si="2"/>
        <v>50.993437707215257</v>
      </c>
      <c r="X5" s="9">
        <v>41.727910000000001</v>
      </c>
      <c r="Y5" s="10">
        <v>0.93478519999999998</v>
      </c>
      <c r="Z5" s="10">
        <f t="shared" si="3"/>
        <v>44.639035791324041</v>
      </c>
      <c r="AA5" s="7">
        <v>0.51813579554443345</v>
      </c>
      <c r="AB5" s="7">
        <v>8.2436687609127063E-2</v>
      </c>
    </row>
    <row r="6" spans="1:29">
      <c r="A6" s="6" t="s">
        <v>14</v>
      </c>
      <c r="B6" s="6" t="s">
        <v>4</v>
      </c>
      <c r="C6" s="6">
        <v>1</v>
      </c>
      <c r="D6" s="6">
        <v>5</v>
      </c>
      <c r="E6" s="6">
        <v>0.25</v>
      </c>
      <c r="F6" s="6" t="s">
        <v>2</v>
      </c>
      <c r="G6" s="6">
        <v>4</v>
      </c>
      <c r="H6" s="6">
        <v>3</v>
      </c>
      <c r="I6" s="6">
        <v>382</v>
      </c>
      <c r="J6" s="7">
        <v>564.04512079999995</v>
      </c>
      <c r="K6" s="7">
        <v>2187.4255469999998</v>
      </c>
      <c r="L6" s="7">
        <v>3481.0369300000002</v>
      </c>
      <c r="M6" s="7">
        <v>5668.4624780000004</v>
      </c>
      <c r="N6" s="7">
        <f t="shared" si="0"/>
        <v>0.46460491478015969</v>
      </c>
      <c r="O6" s="7">
        <v>2037.18328</v>
      </c>
      <c r="P6" s="7">
        <v>8785.3528970000007</v>
      </c>
      <c r="Q6" s="7">
        <v>44.774999999999999</v>
      </c>
      <c r="R6" s="6">
        <v>3</v>
      </c>
      <c r="S6" s="6">
        <v>13</v>
      </c>
      <c r="T6" s="8">
        <f t="shared" si="1"/>
        <v>15.999999996947649</v>
      </c>
      <c r="U6" s="9">
        <v>43.873930000000001</v>
      </c>
      <c r="V6" s="10">
        <v>0.73902109999999999</v>
      </c>
      <c r="W6" s="10">
        <f t="shared" si="2"/>
        <v>59.367628339705057</v>
      </c>
      <c r="X6" s="9">
        <v>40.098759999999999</v>
      </c>
      <c r="Y6" s="10">
        <v>0.86045229999999995</v>
      </c>
      <c r="Z6" s="10">
        <f t="shared" si="3"/>
        <v>46.601955738859665</v>
      </c>
      <c r="AA6" s="7">
        <v>0.59360622215730663</v>
      </c>
      <c r="AB6" s="7">
        <v>9.4388786558246174E-2</v>
      </c>
    </row>
    <row r="7" spans="1:29">
      <c r="A7" s="6" t="s">
        <v>34</v>
      </c>
      <c r="B7" s="6" t="s">
        <v>4</v>
      </c>
      <c r="C7" s="6">
        <v>2</v>
      </c>
      <c r="D7" s="6">
        <v>5</v>
      </c>
      <c r="E7" s="6">
        <v>0.25</v>
      </c>
      <c r="F7" s="6" t="s">
        <v>2</v>
      </c>
      <c r="G7" s="6">
        <v>4</v>
      </c>
      <c r="H7" s="6">
        <v>3</v>
      </c>
      <c r="I7" s="6">
        <v>382</v>
      </c>
      <c r="J7" s="7">
        <v>318.30988760000002</v>
      </c>
      <c r="K7" s="7">
        <v>2799.8537710000001</v>
      </c>
      <c r="L7" s="7">
        <v>4942.7159339999998</v>
      </c>
      <c r="M7" s="7">
        <v>7742.5697049999999</v>
      </c>
      <c r="N7" s="7">
        <f t="shared" si="0"/>
        <v>0.56834777315984164</v>
      </c>
      <c r="O7" s="7">
        <v>2291.8311899999999</v>
      </c>
      <c r="P7" s="7">
        <v>8021.4091669999998</v>
      </c>
      <c r="Q7" s="7">
        <v>59.42777778</v>
      </c>
      <c r="R7" s="6">
        <v>9</v>
      </c>
      <c r="S7" s="6">
        <v>15</v>
      </c>
      <c r="T7" s="8">
        <f t="shared" si="1"/>
        <v>17.999999996566103</v>
      </c>
      <c r="U7" s="9">
        <v>41.170630000000003</v>
      </c>
      <c r="V7" s="12">
        <v>0.87709990000000004</v>
      </c>
      <c r="W7" s="10">
        <f t="shared" si="2"/>
        <v>46.939499138011534</v>
      </c>
      <c r="X7" s="9">
        <v>43.757510000000003</v>
      </c>
      <c r="Y7" s="10">
        <v>0.68654020000000004</v>
      </c>
      <c r="Z7" s="10">
        <f t="shared" si="3"/>
        <v>63.736267737854241</v>
      </c>
      <c r="AA7" s="7">
        <v>0.5660269357516089</v>
      </c>
      <c r="AB7" s="7">
        <v>8.7882270920088212E-2</v>
      </c>
    </row>
    <row r="8" spans="1:29">
      <c r="A8" s="6" t="s">
        <v>46</v>
      </c>
      <c r="B8" s="6" t="s">
        <v>4</v>
      </c>
      <c r="C8" s="6">
        <v>3</v>
      </c>
      <c r="D8" s="6">
        <v>5</v>
      </c>
      <c r="E8" s="6">
        <v>0.25</v>
      </c>
      <c r="F8" s="6" t="s">
        <v>2</v>
      </c>
      <c r="G8" s="6">
        <v>4</v>
      </c>
      <c r="H8" s="6">
        <v>4</v>
      </c>
      <c r="I8" s="6">
        <v>509</v>
      </c>
      <c r="J8" s="7">
        <v>365.4197509</v>
      </c>
      <c r="K8" s="7">
        <v>541.12680890000001</v>
      </c>
      <c r="L8" s="7">
        <v>1748.1579019999999</v>
      </c>
      <c r="M8" s="7">
        <v>2289.2847109999998</v>
      </c>
      <c r="N8" s="7">
        <f t="shared" si="0"/>
        <v>1.1726642364805502</v>
      </c>
      <c r="O8" s="7">
        <v>2419.1551450000002</v>
      </c>
      <c r="P8" s="7">
        <v>5220.2821560000002</v>
      </c>
      <c r="Q8" s="7">
        <v>27.921052629999998</v>
      </c>
      <c r="R8" s="6">
        <v>1</v>
      </c>
      <c r="S8" s="6">
        <v>16</v>
      </c>
      <c r="T8" s="8">
        <f t="shared" si="1"/>
        <v>18.999999996375333</v>
      </c>
      <c r="U8" s="6">
        <v>43.26</v>
      </c>
      <c r="V8" s="6">
        <v>1.29</v>
      </c>
      <c r="W8" s="10">
        <f t="shared" si="2"/>
        <v>33.534883720930232</v>
      </c>
      <c r="X8" s="9">
        <v>37.630422280335999</v>
      </c>
      <c r="Y8" s="10">
        <v>0.93342480000000005</v>
      </c>
      <c r="Z8" s="10">
        <f t="shared" si="3"/>
        <v>40.314358778913949</v>
      </c>
      <c r="AA8" s="7">
        <v>0.57592561910980733</v>
      </c>
      <c r="AB8" s="7">
        <v>9.6362006756601518E-2</v>
      </c>
    </row>
    <row r="9" spans="1:29">
      <c r="A9" s="6" t="s">
        <v>65</v>
      </c>
      <c r="B9" s="6" t="s">
        <v>4</v>
      </c>
      <c r="C9" s="6">
        <v>4</v>
      </c>
      <c r="D9" s="6">
        <v>5</v>
      </c>
      <c r="E9" s="6">
        <v>0.25</v>
      </c>
      <c r="F9" s="6" t="s">
        <v>2</v>
      </c>
      <c r="G9" s="6">
        <v>4</v>
      </c>
      <c r="H9" s="6">
        <v>3</v>
      </c>
      <c r="I9" s="6">
        <v>382</v>
      </c>
      <c r="J9" s="7">
        <v>29.284509660000001</v>
      </c>
      <c r="K9" s="7">
        <v>2304.5635860000002</v>
      </c>
      <c r="L9" s="7">
        <v>3360.0791730000001</v>
      </c>
      <c r="M9" s="7">
        <v>5664.6427590000003</v>
      </c>
      <c r="N9" s="7">
        <f t="shared" si="0"/>
        <v>0.37707321219017842</v>
      </c>
      <c r="O9" s="7">
        <v>2546.4791</v>
      </c>
      <c r="P9" s="7">
        <v>10185.9164</v>
      </c>
      <c r="Q9" s="7">
        <v>49.045000000000002</v>
      </c>
      <c r="R9" s="6">
        <v>6</v>
      </c>
      <c r="S9" s="6">
        <v>17</v>
      </c>
      <c r="T9" s="8">
        <f t="shared" si="1"/>
        <v>19.99999999618456</v>
      </c>
      <c r="U9" s="9">
        <v>42.771900000000002</v>
      </c>
      <c r="V9" s="12">
        <v>0.64498500000000003</v>
      </c>
      <c r="W9" s="10">
        <f t="shared" si="2"/>
        <v>66.31456545501058</v>
      </c>
      <c r="X9" s="9">
        <v>43.232869999999998</v>
      </c>
      <c r="Y9" s="10">
        <v>0.67293320000000001</v>
      </c>
      <c r="Z9" s="10">
        <f t="shared" si="3"/>
        <v>64.245410985815525</v>
      </c>
      <c r="AA9" s="7">
        <v>0.49972574927753355</v>
      </c>
      <c r="AB9" s="7">
        <v>6.8058714755600602E-2</v>
      </c>
    </row>
    <row r="10" spans="1:29">
      <c r="A10" s="6" t="s">
        <v>12</v>
      </c>
      <c r="B10" s="6" t="s">
        <v>4</v>
      </c>
      <c r="C10" s="6">
        <v>1</v>
      </c>
      <c r="D10" s="6">
        <v>5</v>
      </c>
      <c r="E10" s="6">
        <v>0.25</v>
      </c>
      <c r="F10" s="6" t="s">
        <v>3</v>
      </c>
      <c r="G10" s="6">
        <v>0</v>
      </c>
      <c r="H10" s="6">
        <v>0</v>
      </c>
      <c r="I10" s="6">
        <v>0</v>
      </c>
      <c r="J10" s="7">
        <v>0</v>
      </c>
      <c r="K10" s="7">
        <v>253.37467050000001</v>
      </c>
      <c r="L10" s="7">
        <v>495.29018500000001</v>
      </c>
      <c r="M10" s="7">
        <v>748.66485550000004</v>
      </c>
      <c r="N10" s="7">
        <f t="shared" si="0"/>
        <v>0.6702745187975685</v>
      </c>
      <c r="O10" s="7">
        <v>763.94373010000004</v>
      </c>
      <c r="P10" s="7">
        <v>2928.4509659999999</v>
      </c>
      <c r="Q10" s="7">
        <v>26.242857140000002</v>
      </c>
      <c r="R10" s="6">
        <v>1</v>
      </c>
      <c r="S10" s="6">
        <v>3</v>
      </c>
      <c r="T10" s="8">
        <f t="shared" si="1"/>
        <v>5.9999999996407665</v>
      </c>
      <c r="U10" s="9">
        <v>43.708359999999999</v>
      </c>
      <c r="V10" s="10">
        <v>0.95092690000000002</v>
      </c>
      <c r="W10" s="10">
        <f t="shared" si="2"/>
        <v>45.963953696125323</v>
      </c>
      <c r="X10" s="9">
        <v>41.633830000000003</v>
      </c>
      <c r="Y10" s="10">
        <v>0.87995179999999995</v>
      </c>
      <c r="Z10" s="10">
        <f t="shared" si="3"/>
        <v>47.313761958325451</v>
      </c>
      <c r="AA10" s="7">
        <v>0.58548724721271417</v>
      </c>
      <c r="AB10" s="7">
        <v>7.0612713756258286E-2</v>
      </c>
    </row>
    <row r="11" spans="1:29">
      <c r="A11" s="6" t="s">
        <v>32</v>
      </c>
      <c r="B11" s="6" t="s">
        <v>4</v>
      </c>
      <c r="C11" s="6">
        <v>2</v>
      </c>
      <c r="D11" s="6">
        <v>5</v>
      </c>
      <c r="E11" s="6">
        <v>0.25</v>
      </c>
      <c r="F11" s="6" t="s">
        <v>3</v>
      </c>
      <c r="G11" s="6">
        <v>0</v>
      </c>
      <c r="H11" s="6">
        <v>0</v>
      </c>
      <c r="I11" s="6">
        <v>0</v>
      </c>
      <c r="J11" s="7">
        <v>0</v>
      </c>
      <c r="K11" s="7">
        <v>1692.135362</v>
      </c>
      <c r="L11" s="7">
        <v>2142.8621629999998</v>
      </c>
      <c r="M11" s="7">
        <v>3834.9975250000002</v>
      </c>
      <c r="N11" s="7">
        <f t="shared" si="0"/>
        <v>0.23615113561134515</v>
      </c>
      <c r="O11" s="7">
        <v>1655.211415</v>
      </c>
      <c r="P11" s="7">
        <v>4710.9863359999999</v>
      </c>
      <c r="Q11" s="7">
        <v>36.335714289999999</v>
      </c>
      <c r="R11" s="6">
        <v>1</v>
      </c>
      <c r="S11" s="6">
        <v>10</v>
      </c>
      <c r="T11" s="8">
        <f t="shared" si="1"/>
        <v>12.999999997519964</v>
      </c>
      <c r="U11" s="9">
        <v>42.311439999999997</v>
      </c>
      <c r="V11" s="10">
        <v>0.64987050000000002</v>
      </c>
      <c r="W11" s="10">
        <f t="shared" si="2"/>
        <v>65.107494493133629</v>
      </c>
      <c r="X11" s="9">
        <v>39.289090000000002</v>
      </c>
      <c r="Y11" s="10">
        <v>0.63818839999999999</v>
      </c>
      <c r="Z11" s="10">
        <f t="shared" si="3"/>
        <v>61.563466211545055</v>
      </c>
      <c r="AA11" s="7">
        <v>0.5766679374761724</v>
      </c>
      <c r="AB11" s="7">
        <v>9.6253602305475472E-2</v>
      </c>
    </row>
    <row r="12" spans="1:29">
      <c r="A12" s="6" t="s">
        <v>47</v>
      </c>
      <c r="B12" s="6" t="s">
        <v>4</v>
      </c>
      <c r="C12" s="6">
        <v>3</v>
      </c>
      <c r="D12" s="6">
        <v>5</v>
      </c>
      <c r="E12" s="6">
        <v>0.25</v>
      </c>
      <c r="F12" s="6" t="s">
        <v>3</v>
      </c>
      <c r="G12" s="6">
        <v>0</v>
      </c>
      <c r="H12" s="6">
        <v>0</v>
      </c>
      <c r="I12" s="6">
        <v>0</v>
      </c>
      <c r="J12" s="7">
        <v>0</v>
      </c>
      <c r="K12" s="7">
        <v>1107.7184090000001</v>
      </c>
      <c r="L12" s="7">
        <v>1325.442372</v>
      </c>
      <c r="M12" s="7">
        <v>2433.160781</v>
      </c>
      <c r="N12" s="7">
        <f t="shared" si="0"/>
        <v>0.17944385685447045</v>
      </c>
      <c r="O12" s="7">
        <v>1782.5353700000001</v>
      </c>
      <c r="P12" s="7">
        <v>4583.6623810000001</v>
      </c>
      <c r="Q12" s="7">
        <v>32.02857143</v>
      </c>
      <c r="R12" s="6">
        <v>2</v>
      </c>
      <c r="S12" s="6">
        <v>11</v>
      </c>
      <c r="T12" s="8">
        <f t="shared" si="1"/>
        <v>13.999999997329194</v>
      </c>
      <c r="U12" s="6">
        <v>40.93</v>
      </c>
      <c r="V12" s="6">
        <v>0.64800000000000002</v>
      </c>
      <c r="W12" s="10">
        <f t="shared" si="2"/>
        <v>63.163580246913575</v>
      </c>
      <c r="X12" s="9">
        <v>40.637896761598626</v>
      </c>
      <c r="Y12" s="10">
        <v>0.74769439999999998</v>
      </c>
      <c r="Z12" s="10">
        <f t="shared" si="3"/>
        <v>54.350944398672276</v>
      </c>
      <c r="AA12" s="7">
        <v>0.57063210484396498</v>
      </c>
      <c r="AB12" s="7">
        <v>8.7225969645868512E-2</v>
      </c>
    </row>
    <row r="13" spans="1:29">
      <c r="A13" s="6" t="s">
        <v>64</v>
      </c>
      <c r="B13" s="6" t="s">
        <v>4</v>
      </c>
      <c r="C13" s="6">
        <v>4</v>
      </c>
      <c r="D13" s="6">
        <v>5</v>
      </c>
      <c r="E13" s="6">
        <v>0.25</v>
      </c>
      <c r="F13" s="6" t="s">
        <v>3</v>
      </c>
      <c r="G13" s="6">
        <v>0</v>
      </c>
      <c r="H13" s="6">
        <v>0</v>
      </c>
      <c r="I13" s="6">
        <v>0</v>
      </c>
      <c r="J13" s="7">
        <v>21.64507235</v>
      </c>
      <c r="K13" s="7">
        <v>1045.329671</v>
      </c>
      <c r="L13" s="7">
        <v>2239.628369</v>
      </c>
      <c r="M13" s="7">
        <v>3284.95804</v>
      </c>
      <c r="N13" s="7">
        <f t="shared" si="0"/>
        <v>0.76197763510022032</v>
      </c>
      <c r="O13" s="7">
        <v>1145.9155949999999</v>
      </c>
      <c r="P13" s="7">
        <v>3183.098876</v>
      </c>
      <c r="Q13" s="7">
        <v>50.022222220000003</v>
      </c>
      <c r="R13" s="6">
        <v>1</v>
      </c>
      <c r="S13" s="6">
        <v>6</v>
      </c>
      <c r="T13" s="8">
        <f t="shared" si="1"/>
        <v>8.9999999982830516</v>
      </c>
      <c r="U13" s="9">
        <v>40.866729999999997</v>
      </c>
      <c r="V13" s="12">
        <v>0.671153</v>
      </c>
      <c r="W13" s="10">
        <f t="shared" si="2"/>
        <v>60.890333500706987</v>
      </c>
      <c r="X13" s="9">
        <v>42.67239</v>
      </c>
      <c r="Y13" s="10">
        <v>0.66983470000000001</v>
      </c>
      <c r="Z13" s="10">
        <f t="shared" si="3"/>
        <v>63.705851607866833</v>
      </c>
      <c r="AA13" s="7">
        <v>0.49909609113477327</v>
      </c>
      <c r="AB13" s="7">
        <v>6.7847830216373972E-2</v>
      </c>
    </row>
    <row r="14" spans="1:29">
      <c r="A14" s="6" t="s">
        <v>13</v>
      </c>
      <c r="B14" s="6" t="s">
        <v>4</v>
      </c>
      <c r="C14" s="6">
        <v>1</v>
      </c>
      <c r="D14" s="6">
        <v>5</v>
      </c>
      <c r="E14" s="6">
        <v>0.25</v>
      </c>
      <c r="F14" s="6" t="s">
        <v>1</v>
      </c>
      <c r="G14" s="6">
        <v>2</v>
      </c>
      <c r="H14" s="6">
        <v>2</v>
      </c>
      <c r="I14" s="6">
        <v>255</v>
      </c>
      <c r="J14" s="7">
        <v>373.05918819999999</v>
      </c>
      <c r="K14" s="7">
        <v>2139.0424440000002</v>
      </c>
      <c r="L14" s="7">
        <v>3208.5636669999999</v>
      </c>
      <c r="M14" s="7">
        <v>5347.6061110000001</v>
      </c>
      <c r="N14" s="7">
        <f t="shared" si="0"/>
        <v>0.40546510841983019</v>
      </c>
      <c r="O14" s="7">
        <v>1782.5353700000001</v>
      </c>
      <c r="P14" s="7">
        <v>6620.8456610000003</v>
      </c>
      <c r="Q14" s="7">
        <v>50.285714290000001</v>
      </c>
      <c r="R14" s="6">
        <v>3</v>
      </c>
      <c r="S14" s="6">
        <v>11</v>
      </c>
      <c r="T14" s="8">
        <f t="shared" si="1"/>
        <v>13.999999997329194</v>
      </c>
      <c r="U14" s="9">
        <v>41.753619999999998</v>
      </c>
      <c r="V14" s="10">
        <v>0.80166890000000002</v>
      </c>
      <c r="W14" s="10">
        <f t="shared" si="2"/>
        <v>52.08337257438825</v>
      </c>
      <c r="X14" s="9">
        <v>41.409849999999999</v>
      </c>
      <c r="Y14" s="10">
        <v>0.71744699999999995</v>
      </c>
      <c r="Z14" s="10">
        <f t="shared" si="3"/>
        <v>57.718340170075287</v>
      </c>
      <c r="AA14" s="7">
        <v>0.55332723842128817</v>
      </c>
      <c r="AB14" s="7">
        <v>9.3084527283020552E-2</v>
      </c>
    </row>
    <row r="15" spans="1:29">
      <c r="A15" s="6" t="s">
        <v>31</v>
      </c>
      <c r="B15" s="6" t="s">
        <v>4</v>
      </c>
      <c r="C15" s="6">
        <v>2</v>
      </c>
      <c r="D15" s="6">
        <v>5</v>
      </c>
      <c r="E15" s="6">
        <v>0.25</v>
      </c>
      <c r="F15" s="6" t="s">
        <v>1</v>
      </c>
      <c r="G15" s="6">
        <v>2</v>
      </c>
      <c r="H15" s="6">
        <v>2</v>
      </c>
      <c r="I15" s="6">
        <v>255</v>
      </c>
      <c r="J15" s="7">
        <v>211.35776530000001</v>
      </c>
      <c r="K15" s="7">
        <v>1009.678963</v>
      </c>
      <c r="L15" s="7">
        <v>1596.642396</v>
      </c>
      <c r="M15" s="7">
        <v>2606.321359</v>
      </c>
      <c r="N15" s="7">
        <f t="shared" si="0"/>
        <v>0.45827049989447438</v>
      </c>
      <c r="O15" s="7">
        <v>1018.59164</v>
      </c>
      <c r="P15" s="7">
        <v>3183.098876</v>
      </c>
      <c r="Q15" s="7">
        <v>42.9</v>
      </c>
      <c r="R15" s="6">
        <v>2</v>
      </c>
      <c r="S15" s="6">
        <v>5</v>
      </c>
      <c r="T15" s="8">
        <f t="shared" si="1"/>
        <v>7.9999999984738244</v>
      </c>
      <c r="U15" s="9">
        <v>41.890900000000002</v>
      </c>
      <c r="V15" s="10">
        <v>0.84437890000000004</v>
      </c>
      <c r="W15" s="10">
        <f t="shared" si="2"/>
        <v>49.61149550278909</v>
      </c>
      <c r="X15" s="9">
        <v>38.22936</v>
      </c>
      <c r="Y15" s="10">
        <v>0.93497050000000004</v>
      </c>
      <c r="Z15" s="10">
        <f t="shared" si="3"/>
        <v>40.88830610163636</v>
      </c>
      <c r="AA15" s="7">
        <v>0.53850746268656724</v>
      </c>
      <c r="AB15" s="7">
        <v>9.3639499784389707E-2</v>
      </c>
    </row>
    <row r="16" spans="1:29">
      <c r="A16" s="6" t="s">
        <v>48</v>
      </c>
      <c r="B16" s="6" t="s">
        <v>4</v>
      </c>
      <c r="C16" s="6">
        <v>3</v>
      </c>
      <c r="D16" s="6">
        <v>5</v>
      </c>
      <c r="E16" s="6">
        <v>0.25</v>
      </c>
      <c r="F16" s="6" t="s">
        <v>1</v>
      </c>
      <c r="G16" s="6">
        <v>2</v>
      </c>
      <c r="H16" s="6">
        <v>2</v>
      </c>
      <c r="I16" s="6">
        <v>255</v>
      </c>
      <c r="J16" s="7">
        <v>216.45072350000001</v>
      </c>
      <c r="K16" s="7">
        <v>2039.7297590000001</v>
      </c>
      <c r="L16" s="7">
        <v>3025.2171709999998</v>
      </c>
      <c r="M16" s="7">
        <v>5064.9469310000004</v>
      </c>
      <c r="N16" s="7">
        <f t="shared" si="0"/>
        <v>0.39416555296936806</v>
      </c>
      <c r="O16" s="7">
        <v>1400.5635050000001</v>
      </c>
      <c r="P16" s="7">
        <v>6366.1977509999997</v>
      </c>
      <c r="Q16" s="7">
        <v>55</v>
      </c>
      <c r="R16" s="6">
        <v>4</v>
      </c>
      <c r="S16" s="6">
        <v>8</v>
      </c>
      <c r="T16" s="8">
        <f t="shared" si="1"/>
        <v>10.99999999790151</v>
      </c>
      <c r="U16" s="6">
        <v>41.59</v>
      </c>
      <c r="V16" s="6">
        <v>0.67200000000000004</v>
      </c>
      <c r="W16" s="10">
        <f t="shared" si="2"/>
        <v>61.889880952380956</v>
      </c>
      <c r="X16" s="9">
        <v>41.336839820496984</v>
      </c>
      <c r="Y16" s="10">
        <v>0.74446840000000003</v>
      </c>
      <c r="Z16" s="10">
        <f t="shared" si="3"/>
        <v>55.525311511538945</v>
      </c>
      <c r="AA16" s="7">
        <v>0.5502647061712389</v>
      </c>
      <c r="AB16" s="7">
        <v>7.921289420808951E-2</v>
      </c>
    </row>
    <row r="17" spans="1:32">
      <c r="A17" s="6" t="s">
        <v>63</v>
      </c>
      <c r="B17" s="6" t="s">
        <v>4</v>
      </c>
      <c r="C17" s="6">
        <v>4</v>
      </c>
      <c r="D17" s="6">
        <v>5</v>
      </c>
      <c r="E17" s="6">
        <v>0.25</v>
      </c>
      <c r="F17" s="6" t="s">
        <v>1</v>
      </c>
      <c r="G17" s="6">
        <v>2</v>
      </c>
      <c r="H17" s="6">
        <v>2</v>
      </c>
      <c r="I17" s="6">
        <v>255</v>
      </c>
      <c r="J17" s="7">
        <v>44.563384259999999</v>
      </c>
      <c r="K17" s="7">
        <v>1446.4001290000001</v>
      </c>
      <c r="L17" s="7">
        <v>1553.352251</v>
      </c>
      <c r="M17" s="7">
        <v>2999.7523799999999</v>
      </c>
      <c r="N17" s="7">
        <f t="shared" si="0"/>
        <v>7.1337538307931131E-2</v>
      </c>
      <c r="O17" s="7">
        <v>1400.5635050000001</v>
      </c>
      <c r="P17" s="7">
        <v>4838.3102909999998</v>
      </c>
      <c r="Q17" s="7">
        <v>45.327272729999997</v>
      </c>
      <c r="R17" s="6">
        <v>2</v>
      </c>
      <c r="S17" s="6">
        <v>8</v>
      </c>
      <c r="T17" s="8">
        <f t="shared" si="1"/>
        <v>10.99999999790151</v>
      </c>
      <c r="U17" s="9">
        <v>38.709890000000001</v>
      </c>
      <c r="V17" s="10">
        <v>0.70532629999999996</v>
      </c>
      <c r="W17" s="10">
        <f t="shared" si="2"/>
        <v>54.882243863584847</v>
      </c>
      <c r="X17" s="9">
        <v>42.380020000000002</v>
      </c>
      <c r="Y17" s="10">
        <v>0.77273040000000004</v>
      </c>
      <c r="Z17" s="10">
        <f t="shared" si="3"/>
        <v>54.844509805748551</v>
      </c>
      <c r="AA17" s="7">
        <v>0.50281648116167421</v>
      </c>
      <c r="AB17" s="7">
        <v>6.8724085254964776E-2</v>
      </c>
      <c r="AE17" s="13"/>
      <c r="AF17" s="14"/>
    </row>
    <row r="18" spans="1:32">
      <c r="A18" s="6" t="s">
        <v>5</v>
      </c>
      <c r="B18" s="6" t="s">
        <v>0</v>
      </c>
      <c r="C18" s="6">
        <v>1</v>
      </c>
      <c r="D18" s="6">
        <v>0</v>
      </c>
      <c r="E18" s="6">
        <v>0.37</v>
      </c>
      <c r="F18" s="6" t="s">
        <v>0</v>
      </c>
      <c r="G18" s="6">
        <v>8</v>
      </c>
      <c r="H18" s="6">
        <v>10</v>
      </c>
      <c r="I18" s="6">
        <v>1273</v>
      </c>
      <c r="J18" s="7">
        <v>1478.2311179999999</v>
      </c>
      <c r="K18" s="7">
        <v>1069.5212220000001</v>
      </c>
      <c r="L18" s="7">
        <v>4618.0398489999998</v>
      </c>
      <c r="M18" s="7">
        <v>5687.5610710000001</v>
      </c>
      <c r="N18" s="7">
        <f t="shared" si="0"/>
        <v>1.4627592476945663</v>
      </c>
      <c r="O18" s="7">
        <v>2037.18328</v>
      </c>
      <c r="P18" s="7">
        <v>8530.7049869999992</v>
      </c>
      <c r="Q18" s="7">
        <v>52.96875</v>
      </c>
      <c r="R18" s="6">
        <v>3</v>
      </c>
      <c r="S18" s="6">
        <v>13</v>
      </c>
      <c r="T18" s="8">
        <f t="shared" si="1"/>
        <v>15.999999996947649</v>
      </c>
      <c r="U18" s="9">
        <v>43.50517</v>
      </c>
      <c r="V18" s="10">
        <v>0.74855249999999995</v>
      </c>
      <c r="W18" s="10">
        <f t="shared" si="2"/>
        <v>58.119063125164907</v>
      </c>
      <c r="X18" s="9">
        <v>38.280369999999998</v>
      </c>
      <c r="Y18" s="10">
        <v>0.80689339999999998</v>
      </c>
      <c r="Z18" s="10">
        <f t="shared" si="3"/>
        <v>47.441669494384264</v>
      </c>
      <c r="AA18" s="7">
        <v>0.61513520640552322</v>
      </c>
      <c r="AB18" s="7">
        <v>0.11366149150536471</v>
      </c>
      <c r="AC18" s="5"/>
      <c r="AE18" s="13"/>
      <c r="AF18" s="14"/>
    </row>
    <row r="19" spans="1:32">
      <c r="A19" s="6" t="s">
        <v>6</v>
      </c>
      <c r="B19" s="6" t="s">
        <v>0</v>
      </c>
      <c r="C19" s="6">
        <v>2</v>
      </c>
      <c r="D19" s="6">
        <v>0</v>
      </c>
      <c r="E19" s="6">
        <v>0.37</v>
      </c>
      <c r="F19" s="6" t="s">
        <v>0</v>
      </c>
      <c r="G19" s="6">
        <v>8</v>
      </c>
      <c r="H19" s="6">
        <v>6</v>
      </c>
      <c r="I19" s="6">
        <v>764</v>
      </c>
      <c r="J19" s="7">
        <v>714.28738769999995</v>
      </c>
      <c r="K19" s="7">
        <v>3627.4594790000001</v>
      </c>
      <c r="L19" s="7">
        <v>4610.4004109999996</v>
      </c>
      <c r="M19" s="7">
        <v>8237.8598899999997</v>
      </c>
      <c r="N19" s="7">
        <f t="shared" si="0"/>
        <v>0.23978217507587946</v>
      </c>
      <c r="O19" s="7">
        <v>2419.1551450000002</v>
      </c>
      <c r="P19" s="7">
        <v>9676.6205819999996</v>
      </c>
      <c r="Q19" s="7">
        <v>45.771428569999998</v>
      </c>
      <c r="R19" s="6">
        <v>3</v>
      </c>
      <c r="S19" s="6">
        <v>16</v>
      </c>
      <c r="T19" s="8">
        <f t="shared" si="1"/>
        <v>18.999999996375333</v>
      </c>
      <c r="U19" s="9">
        <v>42.984250000000003</v>
      </c>
      <c r="V19" s="10">
        <v>0.52877989999999997</v>
      </c>
      <c r="W19" s="10">
        <f t="shared" si="2"/>
        <v>81.289493038596973</v>
      </c>
      <c r="X19" s="9">
        <v>40.10331</v>
      </c>
      <c r="Y19" s="10">
        <v>0.77159730000000004</v>
      </c>
      <c r="Z19" s="10">
        <f t="shared" si="3"/>
        <v>51.974404265022699</v>
      </c>
      <c r="AA19" s="7">
        <v>0.56266173207216108</v>
      </c>
      <c r="AB19" s="7">
        <v>9.9138584986766878E-2</v>
      </c>
      <c r="AE19" s="13"/>
      <c r="AF19" s="14"/>
    </row>
    <row r="20" spans="1:32">
      <c r="A20" s="6" t="s">
        <v>7</v>
      </c>
      <c r="B20" s="6" t="s">
        <v>0</v>
      </c>
      <c r="C20" s="6">
        <v>3</v>
      </c>
      <c r="D20" s="6">
        <v>0</v>
      </c>
      <c r="E20" s="6">
        <v>0.37</v>
      </c>
      <c r="F20" s="6" t="s">
        <v>0</v>
      </c>
      <c r="G20" s="6">
        <v>8</v>
      </c>
      <c r="H20" s="6">
        <v>7</v>
      </c>
      <c r="I20" s="6">
        <v>891</v>
      </c>
      <c r="J20" s="7">
        <v>814.87331219999999</v>
      </c>
      <c r="K20" s="7">
        <v>1968.428345</v>
      </c>
      <c r="L20" s="7">
        <v>4037.442614</v>
      </c>
      <c r="M20" s="7">
        <v>6005.8709580000004</v>
      </c>
      <c r="N20" s="7">
        <f t="shared" si="0"/>
        <v>0.71837604527066379</v>
      </c>
      <c r="O20" s="7">
        <v>1655.211415</v>
      </c>
      <c r="P20" s="7">
        <v>7130.1414809999997</v>
      </c>
      <c r="Q20" s="7">
        <v>46.661538460000003</v>
      </c>
      <c r="R20" s="6">
        <v>4</v>
      </c>
      <c r="S20" s="6">
        <v>10</v>
      </c>
      <c r="T20" s="8">
        <f t="shared" si="1"/>
        <v>12.999999997519964</v>
      </c>
      <c r="U20" s="6">
        <v>40.42</v>
      </c>
      <c r="V20" s="6">
        <v>0.63</v>
      </c>
      <c r="W20" s="10">
        <f t="shared" si="2"/>
        <v>64.158730158730165</v>
      </c>
      <c r="X20" s="9">
        <v>37.511814932989367</v>
      </c>
      <c r="Y20" s="10">
        <v>0.77769739999999998</v>
      </c>
      <c r="Z20" s="10">
        <f t="shared" si="3"/>
        <v>48.234461029430427</v>
      </c>
      <c r="AA20" s="7">
        <v>0.62826043298389356</v>
      </c>
      <c r="AB20" s="7">
        <v>8.7518368052554293E-2</v>
      </c>
    </row>
    <row r="21" spans="1:32">
      <c r="A21" s="6" t="s">
        <v>8</v>
      </c>
      <c r="B21" s="6" t="s">
        <v>0</v>
      </c>
      <c r="C21" s="6">
        <v>4</v>
      </c>
      <c r="D21" s="6">
        <v>0</v>
      </c>
      <c r="E21" s="6">
        <v>0.37</v>
      </c>
      <c r="F21" s="6" t="s">
        <v>0</v>
      </c>
      <c r="G21" s="6">
        <v>8</v>
      </c>
      <c r="H21" s="6">
        <v>8</v>
      </c>
      <c r="I21" s="6">
        <v>1019</v>
      </c>
      <c r="J21" s="7">
        <v>833.97190539999997</v>
      </c>
      <c r="K21" s="7">
        <v>3095.245347</v>
      </c>
      <c r="L21" s="7">
        <v>4940.1694550000002</v>
      </c>
      <c r="M21" s="7">
        <v>8035.4148020000002</v>
      </c>
      <c r="N21" s="7">
        <f t="shared" si="0"/>
        <v>0.4675324581966957</v>
      </c>
      <c r="O21" s="7">
        <v>2673.8030560000002</v>
      </c>
      <c r="P21" s="7">
        <v>10567.888269999999</v>
      </c>
      <c r="Q21" s="7">
        <v>53.159090910000003</v>
      </c>
      <c r="R21" s="6">
        <v>8</v>
      </c>
      <c r="S21" s="6">
        <v>18</v>
      </c>
      <c r="T21" s="8">
        <f t="shared" si="1"/>
        <v>21.00000000384777</v>
      </c>
      <c r="U21" s="9">
        <v>39.64564</v>
      </c>
      <c r="V21" s="10">
        <v>0.84543849999999998</v>
      </c>
      <c r="W21" s="10">
        <f t="shared" si="2"/>
        <v>46.893582442720557</v>
      </c>
      <c r="X21" s="9">
        <v>43.607990000000001</v>
      </c>
      <c r="Y21" s="10">
        <v>0.66878749999999998</v>
      </c>
      <c r="Z21" s="10">
        <f t="shared" si="3"/>
        <v>65.204553015718744</v>
      </c>
      <c r="AA21" s="7">
        <v>0.50964691593649691</v>
      </c>
      <c r="AB21" s="7">
        <v>6.3425508200201736E-2</v>
      </c>
    </row>
    <row r="22" spans="1:32">
      <c r="A22" s="6" t="s">
        <v>11</v>
      </c>
      <c r="B22" s="6" t="s">
        <v>0</v>
      </c>
      <c r="C22" s="6">
        <v>1</v>
      </c>
      <c r="D22" s="6">
        <v>0</v>
      </c>
      <c r="E22" s="6">
        <v>0.37</v>
      </c>
      <c r="F22" s="6" t="s">
        <v>2</v>
      </c>
      <c r="G22" s="6">
        <v>4</v>
      </c>
      <c r="H22" s="6">
        <v>5</v>
      </c>
      <c r="I22" s="6">
        <v>637</v>
      </c>
      <c r="J22" s="7">
        <v>777.94936519999999</v>
      </c>
      <c r="K22" s="7">
        <v>2470.0847269999999</v>
      </c>
      <c r="L22" s="7">
        <v>4169.8595269999996</v>
      </c>
      <c r="M22" s="7">
        <v>6639.9442550000003</v>
      </c>
      <c r="N22" s="7">
        <f t="shared" si="0"/>
        <v>0.52362989619184053</v>
      </c>
      <c r="O22" s="7">
        <v>2291.8311899999999</v>
      </c>
      <c r="P22" s="7">
        <v>9421.9726719999999</v>
      </c>
      <c r="Q22" s="7">
        <v>48.615789470000003</v>
      </c>
      <c r="R22" s="6">
        <v>7</v>
      </c>
      <c r="S22" s="6">
        <v>15</v>
      </c>
      <c r="T22" s="8">
        <f t="shared" si="1"/>
        <v>17.999999996566103</v>
      </c>
      <c r="U22" s="9">
        <v>43.707909999999998</v>
      </c>
      <c r="V22" s="10">
        <v>0.80861119999999997</v>
      </c>
      <c r="W22" s="10">
        <f t="shared" si="2"/>
        <v>54.05306035830322</v>
      </c>
      <c r="X22" s="9">
        <v>38.046750000000003</v>
      </c>
      <c r="Y22" s="10">
        <v>0.92691619999999997</v>
      </c>
      <c r="Z22" s="10">
        <f t="shared" si="3"/>
        <v>41.046590835288029</v>
      </c>
      <c r="AA22" s="7">
        <v>0.63275441734785542</v>
      </c>
      <c r="AB22" s="7">
        <v>0.10374876685300878</v>
      </c>
    </row>
    <row r="23" spans="1:32">
      <c r="A23" s="6" t="s">
        <v>29</v>
      </c>
      <c r="B23" s="6" t="s">
        <v>0</v>
      </c>
      <c r="C23" s="6">
        <v>2</v>
      </c>
      <c r="D23" s="6">
        <v>0</v>
      </c>
      <c r="E23" s="6">
        <v>0.37</v>
      </c>
      <c r="F23" s="6" t="s">
        <v>2</v>
      </c>
      <c r="G23" s="6">
        <v>4</v>
      </c>
      <c r="H23" s="6">
        <v>4</v>
      </c>
      <c r="I23" s="6">
        <v>509</v>
      </c>
      <c r="J23" s="7">
        <v>359.05355320000001</v>
      </c>
      <c r="K23" s="7">
        <v>1553.352251</v>
      </c>
      <c r="L23" s="7">
        <v>2568.1241730000002</v>
      </c>
      <c r="M23" s="7">
        <v>4121.4764240000004</v>
      </c>
      <c r="N23" s="7">
        <f t="shared" si="0"/>
        <v>0.50276040048001258</v>
      </c>
      <c r="O23" s="7">
        <v>2037.18328</v>
      </c>
      <c r="P23" s="7">
        <v>7257.4654360000004</v>
      </c>
      <c r="Q23" s="7">
        <v>42.431578950000002</v>
      </c>
      <c r="R23" s="6">
        <v>3</v>
      </c>
      <c r="S23" s="6">
        <v>13</v>
      </c>
      <c r="T23" s="8">
        <f t="shared" si="1"/>
        <v>15.999999996947649</v>
      </c>
      <c r="U23" s="9">
        <v>44.040950000000002</v>
      </c>
      <c r="V23" s="10">
        <v>0.882297</v>
      </c>
      <c r="W23" s="10">
        <f t="shared" si="2"/>
        <v>49.916241356368666</v>
      </c>
      <c r="X23" s="9">
        <v>40.834029999999998</v>
      </c>
      <c r="Y23" s="10">
        <v>0.67887719999999996</v>
      </c>
      <c r="Z23" s="10">
        <f t="shared" si="3"/>
        <v>60.14936132779242</v>
      </c>
      <c r="AA23" s="7">
        <v>0.59457630686645269</v>
      </c>
      <c r="AB23" s="7">
        <v>9.2591562355122822E-2</v>
      </c>
    </row>
    <row r="24" spans="1:32">
      <c r="A24" s="6" t="s">
        <v>45</v>
      </c>
      <c r="B24" s="6" t="s">
        <v>0</v>
      </c>
      <c r="C24" s="6">
        <v>3</v>
      </c>
      <c r="D24" s="6">
        <v>0</v>
      </c>
      <c r="E24" s="6">
        <v>0.37</v>
      </c>
      <c r="F24" s="6" t="s">
        <v>2</v>
      </c>
      <c r="G24" s="6">
        <v>4</v>
      </c>
      <c r="H24" s="6">
        <v>3</v>
      </c>
      <c r="I24" s="6">
        <v>382</v>
      </c>
      <c r="J24" s="7">
        <v>364.14651140000001</v>
      </c>
      <c r="K24" s="7">
        <v>2119.943851</v>
      </c>
      <c r="L24" s="7">
        <v>4279.3581279999999</v>
      </c>
      <c r="M24" s="7">
        <v>6399.3019800000002</v>
      </c>
      <c r="N24" s="7">
        <f t="shared" si="0"/>
        <v>0.70241342529778972</v>
      </c>
      <c r="O24" s="7">
        <v>2419.1551450000002</v>
      </c>
      <c r="P24" s="7">
        <v>9803.9445369999994</v>
      </c>
      <c r="Q24" s="7">
        <v>50.46</v>
      </c>
      <c r="R24" s="6">
        <v>5</v>
      </c>
      <c r="S24" s="6">
        <v>16</v>
      </c>
      <c r="T24" s="8">
        <f t="shared" si="1"/>
        <v>18.999999996375333</v>
      </c>
      <c r="U24" s="6">
        <v>41.07</v>
      </c>
      <c r="V24" s="6">
        <v>0.58599999999999997</v>
      </c>
      <c r="W24" s="10">
        <f t="shared" si="2"/>
        <v>70.085324232081916</v>
      </c>
      <c r="X24" s="9">
        <v>40.326516940185286</v>
      </c>
      <c r="Y24" s="10">
        <v>0.70729050000000004</v>
      </c>
      <c r="Z24" s="10">
        <f t="shared" si="3"/>
        <v>57.015493549235124</v>
      </c>
      <c r="AA24" s="7">
        <v>0.60747907310353821</v>
      </c>
      <c r="AB24" s="7">
        <v>8.5468665642260883E-2</v>
      </c>
    </row>
    <row r="25" spans="1:32">
      <c r="A25" s="6" t="s">
        <v>62</v>
      </c>
      <c r="B25" s="6" t="s">
        <v>0</v>
      </c>
      <c r="C25" s="6">
        <v>4</v>
      </c>
      <c r="D25" s="6">
        <v>0</v>
      </c>
      <c r="E25" s="6">
        <v>0.37</v>
      </c>
      <c r="F25" s="6" t="s">
        <v>2</v>
      </c>
      <c r="G25" s="6">
        <v>4</v>
      </c>
      <c r="H25" s="6">
        <v>5</v>
      </c>
      <c r="I25" s="6">
        <v>637</v>
      </c>
      <c r="J25" s="7">
        <v>64.935217059999999</v>
      </c>
      <c r="K25" s="7">
        <v>2095.7523000000001</v>
      </c>
      <c r="L25" s="7">
        <v>5082.772285</v>
      </c>
      <c r="M25" s="7">
        <v>7178.5245839999998</v>
      </c>
      <c r="N25" s="7">
        <f t="shared" si="0"/>
        <v>0.88594425613577077</v>
      </c>
      <c r="O25" s="7">
        <v>2037.18328</v>
      </c>
      <c r="P25" s="7">
        <v>8530.7049869999992</v>
      </c>
      <c r="Q25" s="7">
        <v>62.2</v>
      </c>
      <c r="R25" s="6">
        <v>5</v>
      </c>
      <c r="S25" s="6">
        <v>13</v>
      </c>
      <c r="T25" s="8">
        <f t="shared" si="1"/>
        <v>15.999999996947649</v>
      </c>
      <c r="U25" s="9">
        <v>41.408470000000001</v>
      </c>
      <c r="V25" s="10">
        <v>0.73652240000000002</v>
      </c>
      <c r="W25" s="10">
        <f t="shared" si="2"/>
        <v>56.221603036105897</v>
      </c>
      <c r="X25" s="9">
        <v>39.879469999999998</v>
      </c>
      <c r="Y25" s="10">
        <v>0.86252799999999996</v>
      </c>
      <c r="Z25" s="10">
        <f t="shared" si="3"/>
        <v>46.235565685983524</v>
      </c>
      <c r="AA25" s="7">
        <v>0.51016344032006311</v>
      </c>
      <c r="AB25" s="7">
        <v>7.2079991209757194E-2</v>
      </c>
    </row>
    <row r="26" spans="1:32">
      <c r="A26" s="6" t="s">
        <v>9</v>
      </c>
      <c r="B26" s="6" t="s">
        <v>0</v>
      </c>
      <c r="C26" s="6">
        <v>1</v>
      </c>
      <c r="D26" s="6">
        <v>0</v>
      </c>
      <c r="E26" s="6">
        <v>0.37</v>
      </c>
      <c r="F26" s="6" t="s">
        <v>3</v>
      </c>
      <c r="G26" s="6">
        <v>0</v>
      </c>
      <c r="H26" s="6">
        <v>0</v>
      </c>
      <c r="I26" s="6">
        <v>0</v>
      </c>
      <c r="J26" s="7">
        <v>0</v>
      </c>
      <c r="K26" s="7">
        <v>1492.2367529999999</v>
      </c>
      <c r="L26" s="7">
        <v>2360.5861260000001</v>
      </c>
      <c r="M26" s="7">
        <v>3852.8228789999998</v>
      </c>
      <c r="N26" s="7">
        <f t="shared" si="0"/>
        <v>0.45863377584787579</v>
      </c>
      <c r="O26" s="7">
        <v>1145.9155949999999</v>
      </c>
      <c r="P26" s="7">
        <v>5092.9582010000004</v>
      </c>
      <c r="Q26" s="7">
        <v>46.816666669999996</v>
      </c>
      <c r="R26" s="6">
        <v>1</v>
      </c>
      <c r="S26" s="6">
        <v>6</v>
      </c>
      <c r="T26" s="8">
        <f t="shared" si="1"/>
        <v>8.9999999982830516</v>
      </c>
      <c r="U26" s="9">
        <v>44.702489999999997</v>
      </c>
      <c r="V26" s="10">
        <v>0.78431379999999995</v>
      </c>
      <c r="W26" s="10">
        <f t="shared" si="2"/>
        <v>56.995669335411414</v>
      </c>
      <c r="X26" s="9">
        <v>37.602139999999999</v>
      </c>
      <c r="Y26" s="10">
        <v>0.82676479999999997</v>
      </c>
      <c r="Z26" s="10">
        <f t="shared" si="3"/>
        <v>45.48106063538264</v>
      </c>
      <c r="AA26" s="7">
        <v>0.59907296306645408</v>
      </c>
      <c r="AB26" s="7">
        <v>9.283781567727116E-2</v>
      </c>
    </row>
    <row r="27" spans="1:32">
      <c r="A27" s="6" t="s">
        <v>28</v>
      </c>
      <c r="B27" s="6" t="s">
        <v>0</v>
      </c>
      <c r="C27" s="6">
        <v>2</v>
      </c>
      <c r="D27" s="6">
        <v>0</v>
      </c>
      <c r="E27" s="6">
        <v>0.37</v>
      </c>
      <c r="F27" s="6" t="s">
        <v>3</v>
      </c>
      <c r="G27" s="6">
        <v>0</v>
      </c>
      <c r="H27" s="6">
        <v>0</v>
      </c>
      <c r="I27" s="6">
        <v>0</v>
      </c>
      <c r="J27" s="7">
        <v>0</v>
      </c>
      <c r="K27" s="7">
        <v>714.28738769999995</v>
      </c>
      <c r="L27" s="7">
        <v>799.59443759999999</v>
      </c>
      <c r="M27" s="7">
        <v>1513.8818249999999</v>
      </c>
      <c r="N27" s="7">
        <f t="shared" si="0"/>
        <v>0.11281926098562976</v>
      </c>
      <c r="O27" s="7">
        <v>509.29582010000001</v>
      </c>
      <c r="P27" s="7">
        <v>2164.507235</v>
      </c>
      <c r="Q27" s="7">
        <v>44.22</v>
      </c>
      <c r="R27" s="6">
        <v>0</v>
      </c>
      <c r="S27" s="6">
        <v>1</v>
      </c>
      <c r="T27" s="8">
        <f t="shared" si="1"/>
        <v>4.0000000000223102</v>
      </c>
      <c r="U27" s="9">
        <v>45.159770000000002</v>
      </c>
      <c r="V27" s="10">
        <v>0.86093240000000004</v>
      </c>
      <c r="W27" s="10">
        <f t="shared" si="2"/>
        <v>52.454490038939177</v>
      </c>
      <c r="X27" s="9">
        <v>41.037239999999997</v>
      </c>
      <c r="Y27" s="10">
        <v>0.7861937</v>
      </c>
      <c r="Z27" s="10">
        <f t="shared" si="3"/>
        <v>52.197365611044702</v>
      </c>
      <c r="AA27" s="7">
        <v>0.64492870686063619</v>
      </c>
      <c r="AB27" s="7">
        <v>9.5759201168554423E-2</v>
      </c>
    </row>
    <row r="28" spans="1:32">
      <c r="A28" s="6" t="s">
        <v>44</v>
      </c>
      <c r="B28" s="6" t="s">
        <v>0</v>
      </c>
      <c r="C28" s="6">
        <v>3</v>
      </c>
      <c r="D28" s="6">
        <v>0</v>
      </c>
      <c r="E28" s="6">
        <v>0.37</v>
      </c>
      <c r="F28" s="6" t="s">
        <v>3</v>
      </c>
      <c r="G28" s="6">
        <v>0</v>
      </c>
      <c r="H28" s="6">
        <v>0</v>
      </c>
      <c r="I28" s="6">
        <v>0</v>
      </c>
      <c r="J28" s="7">
        <v>0</v>
      </c>
      <c r="K28" s="7">
        <v>1655.211415</v>
      </c>
      <c r="L28" s="7">
        <v>3034.129848</v>
      </c>
      <c r="M28" s="7">
        <v>4689.3412639999997</v>
      </c>
      <c r="N28" s="7">
        <f t="shared" si="0"/>
        <v>0.60599593376446848</v>
      </c>
      <c r="O28" s="7">
        <v>1655.211415</v>
      </c>
      <c r="P28" s="7">
        <v>5474.9300659999999</v>
      </c>
      <c r="Q28" s="7">
        <v>46.473333330000003</v>
      </c>
      <c r="R28" s="6">
        <v>3</v>
      </c>
      <c r="S28" s="6">
        <v>10</v>
      </c>
      <c r="T28" s="8">
        <f t="shared" si="1"/>
        <v>12.999999997519964</v>
      </c>
      <c r="U28" s="6">
        <v>39.65</v>
      </c>
      <c r="V28" s="6">
        <v>0.65500000000000003</v>
      </c>
      <c r="W28" s="10">
        <f t="shared" si="2"/>
        <v>60.534351145038165</v>
      </c>
      <c r="X28" s="9">
        <v>39.122671831341663</v>
      </c>
      <c r="Y28" s="10">
        <v>0.67753269999999999</v>
      </c>
      <c r="Z28" s="10">
        <f t="shared" si="3"/>
        <v>57.742854081200306</v>
      </c>
      <c r="AA28" s="7">
        <v>0.6062748685113194</v>
      </c>
      <c r="AB28" s="7">
        <v>8.7793885326642576E-2</v>
      </c>
    </row>
    <row r="29" spans="1:32">
      <c r="A29" s="6" t="s">
        <v>60</v>
      </c>
      <c r="B29" s="6" t="s">
        <v>0</v>
      </c>
      <c r="C29" s="6">
        <v>4</v>
      </c>
      <c r="D29" s="6">
        <v>0</v>
      </c>
      <c r="E29" s="6">
        <v>0.37</v>
      </c>
      <c r="F29" s="6" t="s">
        <v>3</v>
      </c>
      <c r="G29" s="6">
        <v>0</v>
      </c>
      <c r="H29" s="6">
        <v>0</v>
      </c>
      <c r="I29" s="6">
        <v>0</v>
      </c>
      <c r="J29" s="7">
        <v>0</v>
      </c>
      <c r="K29" s="7">
        <v>755.03105330000005</v>
      </c>
      <c r="L29" s="7">
        <v>996.94656780000003</v>
      </c>
      <c r="M29" s="7">
        <v>1751.977621</v>
      </c>
      <c r="N29" s="7">
        <f t="shared" si="0"/>
        <v>0.27793829694486966</v>
      </c>
      <c r="O29" s="7">
        <v>1018.59164</v>
      </c>
      <c r="P29" s="7">
        <v>4074.3665609999998</v>
      </c>
      <c r="Q29" s="7">
        <v>48.977777779999997</v>
      </c>
      <c r="R29" s="6">
        <v>4</v>
      </c>
      <c r="S29" s="6">
        <v>5</v>
      </c>
      <c r="T29" s="8">
        <f t="shared" si="1"/>
        <v>7.9999999984738244</v>
      </c>
      <c r="U29" s="9">
        <v>40.270090000000003</v>
      </c>
      <c r="V29" s="10">
        <v>0.69167820000000002</v>
      </c>
      <c r="W29" s="10">
        <f t="shared" si="2"/>
        <v>58.220846052398358</v>
      </c>
      <c r="X29" s="9">
        <v>39.324939999999998</v>
      </c>
      <c r="Y29" s="10">
        <v>0.78771990000000003</v>
      </c>
      <c r="Z29" s="10">
        <f t="shared" si="3"/>
        <v>49.922491484600044</v>
      </c>
      <c r="AA29" s="7">
        <v>0.52716374730856519</v>
      </c>
      <c r="AB29" s="7">
        <v>6.4191149322221627E-2</v>
      </c>
    </row>
    <row r="30" spans="1:32">
      <c r="A30" s="6" t="s">
        <v>10</v>
      </c>
      <c r="B30" s="6" t="s">
        <v>0</v>
      </c>
      <c r="C30" s="6">
        <v>1</v>
      </c>
      <c r="D30" s="6">
        <v>0</v>
      </c>
      <c r="E30" s="6">
        <v>0.37</v>
      </c>
      <c r="F30" s="6" t="s">
        <v>1</v>
      </c>
      <c r="G30" s="6">
        <v>2</v>
      </c>
      <c r="H30" s="6">
        <v>2</v>
      </c>
      <c r="I30" s="6">
        <v>255</v>
      </c>
      <c r="J30" s="7">
        <v>403.61693739999998</v>
      </c>
      <c r="K30" s="7">
        <v>2177.2396309999999</v>
      </c>
      <c r="L30" s="7">
        <v>2943.72984</v>
      </c>
      <c r="M30" s="7">
        <v>5120.9694710000003</v>
      </c>
      <c r="N30" s="7">
        <f t="shared" si="0"/>
        <v>0.30161958020179602</v>
      </c>
      <c r="O30" s="7">
        <v>2291.8311899999999</v>
      </c>
      <c r="P30" s="7">
        <v>9294.648717</v>
      </c>
      <c r="Q30" s="7">
        <v>48.08888889</v>
      </c>
      <c r="R30" s="6">
        <v>3</v>
      </c>
      <c r="S30" s="6">
        <v>15</v>
      </c>
      <c r="T30" s="8">
        <f t="shared" si="1"/>
        <v>17.999999996566103</v>
      </c>
      <c r="U30" s="9">
        <v>42.076839999999997</v>
      </c>
      <c r="V30" s="10">
        <v>0.70966770000000001</v>
      </c>
      <c r="W30" s="10">
        <f t="shared" si="2"/>
        <v>59.290904743163594</v>
      </c>
      <c r="X30" s="9">
        <v>38.831910000000001</v>
      </c>
      <c r="Y30" s="10">
        <v>0.94859039999999994</v>
      </c>
      <c r="Z30" s="10">
        <f t="shared" si="3"/>
        <v>40.936435789356509</v>
      </c>
      <c r="AA30" s="7">
        <v>0.63989085310532534</v>
      </c>
      <c r="AB30" s="7">
        <v>0.10075773481190231</v>
      </c>
    </row>
    <row r="31" spans="1:32">
      <c r="A31" s="6" t="s">
        <v>30</v>
      </c>
      <c r="B31" s="6" t="s">
        <v>0</v>
      </c>
      <c r="C31" s="6">
        <v>2</v>
      </c>
      <c r="D31" s="6">
        <v>0</v>
      </c>
      <c r="E31" s="6">
        <v>0.37</v>
      </c>
      <c r="F31" s="6" t="s">
        <v>1</v>
      </c>
      <c r="G31" s="6">
        <v>2</v>
      </c>
      <c r="H31" s="6">
        <v>3</v>
      </c>
      <c r="I31" s="6">
        <v>382</v>
      </c>
      <c r="J31" s="7">
        <v>138.78311099999999</v>
      </c>
      <c r="K31" s="7">
        <v>2316.0227420000001</v>
      </c>
      <c r="L31" s="7">
        <v>3425.0143899999998</v>
      </c>
      <c r="M31" s="7">
        <v>5741.0371320000004</v>
      </c>
      <c r="N31" s="7">
        <f t="shared" si="0"/>
        <v>0.39125429398627121</v>
      </c>
      <c r="O31" s="7">
        <v>2419.1551450000002</v>
      </c>
      <c r="P31" s="7">
        <v>9676.6205819999996</v>
      </c>
      <c r="Q31" s="7">
        <v>41.461904760000003</v>
      </c>
      <c r="R31" s="6">
        <v>5</v>
      </c>
      <c r="S31" s="6">
        <v>16</v>
      </c>
      <c r="T31" s="8">
        <f t="shared" si="1"/>
        <v>18.999999996375333</v>
      </c>
      <c r="U31" s="9">
        <v>43.983359999999998</v>
      </c>
      <c r="V31" s="10">
        <v>0.67317070000000001</v>
      </c>
      <c r="W31" s="10">
        <f t="shared" si="2"/>
        <v>65.337603077495785</v>
      </c>
      <c r="X31" s="9">
        <v>42.823230000000002</v>
      </c>
      <c r="Y31" s="10">
        <v>0.6694561</v>
      </c>
      <c r="Z31" s="10">
        <f t="shared" si="3"/>
        <v>63.967196654119668</v>
      </c>
      <c r="AA31" s="7">
        <v>0.62540179824521691</v>
      </c>
      <c r="AB31" s="7">
        <v>8.7549249474269425E-2</v>
      </c>
    </row>
    <row r="32" spans="1:32">
      <c r="A32" s="6" t="s">
        <v>43</v>
      </c>
      <c r="B32" s="6" t="s">
        <v>0</v>
      </c>
      <c r="C32" s="6">
        <v>3</v>
      </c>
      <c r="D32" s="6">
        <v>0</v>
      </c>
      <c r="E32" s="6">
        <v>0.37</v>
      </c>
      <c r="F32" s="6" t="s">
        <v>1</v>
      </c>
      <c r="G32" s="6">
        <v>2</v>
      </c>
      <c r="H32" s="6">
        <v>2</v>
      </c>
      <c r="I32" s="6">
        <v>255</v>
      </c>
      <c r="J32" s="7">
        <v>184.6197348</v>
      </c>
      <c r="K32" s="7">
        <v>1406.929703</v>
      </c>
      <c r="L32" s="7">
        <v>2967.9213920000002</v>
      </c>
      <c r="M32" s="7">
        <v>4374.851095</v>
      </c>
      <c r="N32" s="7">
        <f t="shared" si="0"/>
        <v>0.74645202522630139</v>
      </c>
      <c r="O32" s="7">
        <v>2037.18328</v>
      </c>
      <c r="P32" s="7">
        <v>8276.0570769999995</v>
      </c>
      <c r="Q32" s="7">
        <v>47.725000000000001</v>
      </c>
      <c r="R32" s="6">
        <v>4</v>
      </c>
      <c r="S32" s="6">
        <v>13</v>
      </c>
      <c r="T32" s="8">
        <f t="shared" si="1"/>
        <v>15.999999996947649</v>
      </c>
      <c r="U32" s="6">
        <v>40.72</v>
      </c>
      <c r="V32" s="6">
        <v>0.625</v>
      </c>
      <c r="W32" s="10">
        <f t="shared" si="2"/>
        <v>65.152000000000001</v>
      </c>
      <c r="X32" s="9">
        <v>40.25200467504326</v>
      </c>
      <c r="Y32" s="10">
        <v>0.70450699999999999</v>
      </c>
      <c r="Z32" s="10">
        <f t="shared" si="3"/>
        <v>57.134996068233903</v>
      </c>
      <c r="AA32" s="7">
        <v>0.58993006993006991</v>
      </c>
      <c r="AB32" s="7">
        <v>8.5816133433085348E-2</v>
      </c>
    </row>
    <row r="33" spans="1:32">
      <c r="A33" s="6" t="s">
        <v>61</v>
      </c>
      <c r="B33" s="6" t="s">
        <v>0</v>
      </c>
      <c r="C33" s="6">
        <v>4</v>
      </c>
      <c r="D33" s="6">
        <v>0</v>
      </c>
      <c r="E33" s="6">
        <v>0.37</v>
      </c>
      <c r="F33" s="6" t="s">
        <v>1</v>
      </c>
      <c r="G33" s="6">
        <v>2</v>
      </c>
      <c r="H33" s="6">
        <v>2</v>
      </c>
      <c r="I33" s="6">
        <v>255</v>
      </c>
      <c r="J33" s="7">
        <v>187.1662139</v>
      </c>
      <c r="K33" s="7">
        <v>1555.8987299999999</v>
      </c>
      <c r="L33" s="7">
        <v>2906.8058930000002</v>
      </c>
      <c r="M33" s="7">
        <v>4462.704624</v>
      </c>
      <c r="N33" s="7">
        <f t="shared" si="0"/>
        <v>0.62500150698293366</v>
      </c>
      <c r="O33" s="7">
        <v>1909.8593249999999</v>
      </c>
      <c r="P33" s="7">
        <v>8530.7049869999992</v>
      </c>
      <c r="Q33" s="7">
        <v>52.541176470000003</v>
      </c>
      <c r="R33" s="6">
        <v>4</v>
      </c>
      <c r="S33" s="6">
        <v>12</v>
      </c>
      <c r="T33" s="8">
        <f t="shared" si="1"/>
        <v>14.999999997138419</v>
      </c>
      <c r="U33" s="9">
        <v>39.929699999999997</v>
      </c>
      <c r="V33" s="10">
        <v>0.65985439999999995</v>
      </c>
      <c r="W33" s="10">
        <f t="shared" si="2"/>
        <v>60.512894965919756</v>
      </c>
      <c r="X33" s="9">
        <v>39.952460000000002</v>
      </c>
      <c r="Y33" s="10">
        <v>0.88639279999999998</v>
      </c>
      <c r="Z33" s="10">
        <f t="shared" si="3"/>
        <v>45.073087236268165</v>
      </c>
      <c r="AA33" s="7">
        <v>0.52968536476941563</v>
      </c>
      <c r="AB33" s="7">
        <v>7.3375225359262053E-2</v>
      </c>
      <c r="AE33" s="13"/>
      <c r="AF33" s="14"/>
    </row>
    <row r="34" spans="1:32">
      <c r="A34" s="6" t="s">
        <v>20</v>
      </c>
      <c r="B34" s="6" t="s">
        <v>2</v>
      </c>
      <c r="C34" s="6">
        <v>1</v>
      </c>
      <c r="D34" s="6">
        <v>-5</v>
      </c>
      <c r="E34" s="6">
        <v>0.49</v>
      </c>
      <c r="F34" s="6" t="s">
        <v>0</v>
      </c>
      <c r="G34" s="6">
        <v>8</v>
      </c>
      <c r="H34" s="6">
        <v>7</v>
      </c>
      <c r="I34" s="6">
        <v>891</v>
      </c>
      <c r="J34" s="7">
        <v>1219.7634889999999</v>
      </c>
      <c r="K34" s="7">
        <v>353.96059500000001</v>
      </c>
      <c r="L34" s="7">
        <v>3472.1242539999998</v>
      </c>
      <c r="M34" s="7">
        <v>3826.084848</v>
      </c>
      <c r="N34" s="7">
        <f t="shared" si="0"/>
        <v>2.2833362692036432</v>
      </c>
      <c r="O34" s="7">
        <v>1782.5353700000001</v>
      </c>
      <c r="P34" s="7">
        <v>9421.9726719999999</v>
      </c>
      <c r="Q34" s="7">
        <v>48.398666669999997</v>
      </c>
      <c r="R34" s="6">
        <v>2</v>
      </c>
      <c r="S34" s="6">
        <v>11</v>
      </c>
      <c r="T34" s="8">
        <f t="shared" si="1"/>
        <v>13.999999997329194</v>
      </c>
      <c r="U34" s="9">
        <v>41.712820000000001</v>
      </c>
      <c r="V34" s="10">
        <v>0.89883740000000001</v>
      </c>
      <c r="W34" s="10">
        <f t="shared" si="2"/>
        <v>46.407525988571457</v>
      </c>
      <c r="X34" s="9">
        <v>40.743859999999998</v>
      </c>
      <c r="Y34" s="12">
        <v>1.0282009999999999</v>
      </c>
      <c r="Z34" s="10">
        <f t="shared" si="3"/>
        <v>39.626357103329021</v>
      </c>
      <c r="AA34" s="7">
        <v>0.6326597436617083</v>
      </c>
      <c r="AB34" s="7">
        <v>9.1854492975083885E-2</v>
      </c>
      <c r="AE34" s="13"/>
      <c r="AF34" s="14"/>
    </row>
    <row r="35" spans="1:32">
      <c r="A35" s="6" t="s">
        <v>38</v>
      </c>
      <c r="B35" s="6" t="s">
        <v>2</v>
      </c>
      <c r="C35" s="6">
        <v>2</v>
      </c>
      <c r="D35" s="6">
        <v>-5</v>
      </c>
      <c r="E35" s="6">
        <v>0.49</v>
      </c>
      <c r="F35" s="6" t="s">
        <v>0</v>
      </c>
      <c r="G35" s="6">
        <v>8</v>
      </c>
      <c r="H35" s="6">
        <v>9</v>
      </c>
      <c r="I35" s="6">
        <v>1146</v>
      </c>
      <c r="J35" s="7">
        <v>1060.608545</v>
      </c>
      <c r="K35" s="7">
        <v>1270.6930709999999</v>
      </c>
      <c r="L35" s="7">
        <v>2477.7241650000001</v>
      </c>
      <c r="M35" s="7">
        <v>3748.4172359999998</v>
      </c>
      <c r="N35" s="7">
        <f t="shared" si="0"/>
        <v>0.66777798663830668</v>
      </c>
      <c r="O35" s="7">
        <v>1273.23955</v>
      </c>
      <c r="P35" s="7">
        <v>5347.6061110000001</v>
      </c>
      <c r="Q35" s="7">
        <v>47.96</v>
      </c>
      <c r="R35" s="6">
        <v>2</v>
      </c>
      <c r="S35" s="6">
        <v>7</v>
      </c>
      <c r="T35" s="8">
        <f t="shared" si="1"/>
        <v>9.9999999980922798</v>
      </c>
      <c r="U35" s="9">
        <v>41.474580000000003</v>
      </c>
      <c r="V35" s="10">
        <v>0.93122819999999995</v>
      </c>
      <c r="W35" s="10">
        <f t="shared" si="2"/>
        <v>44.537504341041227</v>
      </c>
      <c r="X35" s="9">
        <v>40.880110000000002</v>
      </c>
      <c r="Y35" s="10">
        <v>0.91528730000000003</v>
      </c>
      <c r="Z35" s="10">
        <f t="shared" si="3"/>
        <v>44.663691935854459</v>
      </c>
      <c r="AA35" s="7">
        <v>0.6205621965648076</v>
      </c>
      <c r="AB35" s="7">
        <v>8.1351339727323627E-2</v>
      </c>
      <c r="AE35" s="13"/>
      <c r="AF35" s="14"/>
    </row>
    <row r="36" spans="1:32">
      <c r="A36" s="6" t="s">
        <v>56</v>
      </c>
      <c r="B36" s="6" t="s">
        <v>2</v>
      </c>
      <c r="C36" s="6">
        <v>3</v>
      </c>
      <c r="D36" s="6">
        <v>-5</v>
      </c>
      <c r="E36" s="6">
        <v>0.49</v>
      </c>
      <c r="F36" s="6" t="s">
        <v>0</v>
      </c>
      <c r="G36" s="6">
        <v>8</v>
      </c>
      <c r="H36" s="6">
        <v>7</v>
      </c>
      <c r="I36" s="6">
        <v>891</v>
      </c>
      <c r="J36" s="7">
        <v>873.44233150000002</v>
      </c>
      <c r="K36" s="7">
        <v>3828.6313279999999</v>
      </c>
      <c r="L36" s="7">
        <v>6412.0343750000002</v>
      </c>
      <c r="M36" s="7">
        <v>10240.6657</v>
      </c>
      <c r="N36" s="7">
        <f t="shared" si="0"/>
        <v>0.5156692120624885</v>
      </c>
      <c r="O36" s="7">
        <v>2673.8030560000002</v>
      </c>
      <c r="P36" s="7">
        <v>11459.15595</v>
      </c>
      <c r="Q36" s="7">
        <v>65.145454549999997</v>
      </c>
      <c r="R36" s="6">
        <v>14</v>
      </c>
      <c r="S36" s="6">
        <v>18</v>
      </c>
      <c r="T36" s="8">
        <f t="shared" si="1"/>
        <v>21.00000000384777</v>
      </c>
      <c r="U36" s="6">
        <v>43.38</v>
      </c>
      <c r="V36" s="6">
        <v>0.68700000000000006</v>
      </c>
      <c r="W36" s="10">
        <f t="shared" si="2"/>
        <v>63.144104803493448</v>
      </c>
      <c r="X36" s="9">
        <v>43.09845</v>
      </c>
      <c r="Y36" s="10">
        <v>0.84983770000000003</v>
      </c>
      <c r="Z36" s="10">
        <f t="shared" si="3"/>
        <v>50.713742165121644</v>
      </c>
      <c r="AA36" s="7">
        <v>0.52999753176785003</v>
      </c>
      <c r="AB36" s="7">
        <v>6.8921806526384299E-2</v>
      </c>
      <c r="AE36" s="13"/>
      <c r="AF36" s="14"/>
    </row>
    <row r="37" spans="1:32">
      <c r="A37" s="6" t="s">
        <v>72</v>
      </c>
      <c r="B37" s="6" t="s">
        <v>2</v>
      </c>
      <c r="C37" s="6">
        <v>4</v>
      </c>
      <c r="D37" s="6">
        <v>-5</v>
      </c>
      <c r="E37" s="6">
        <v>0.49</v>
      </c>
      <c r="F37" s="6" t="s">
        <v>0</v>
      </c>
      <c r="G37" s="6">
        <v>8</v>
      </c>
      <c r="H37" s="6">
        <v>10</v>
      </c>
      <c r="I37" s="6">
        <v>1273</v>
      </c>
      <c r="J37" s="7">
        <v>1082.253618</v>
      </c>
      <c r="K37" s="7">
        <v>1327.9888510000001</v>
      </c>
      <c r="L37" s="7">
        <v>3511.5946800000002</v>
      </c>
      <c r="M37" s="7">
        <v>4839.5835299999999</v>
      </c>
      <c r="N37" s="7">
        <f t="shared" si="0"/>
        <v>0.97240460340216628</v>
      </c>
      <c r="O37" s="7">
        <v>2164.507235</v>
      </c>
      <c r="P37" s="7">
        <v>8530.7049869999992</v>
      </c>
      <c r="Q37" s="7">
        <v>43.061111109999999</v>
      </c>
      <c r="R37" s="6">
        <v>2</v>
      </c>
      <c r="S37" s="6">
        <v>14</v>
      </c>
      <c r="T37" s="8">
        <f t="shared" si="1"/>
        <v>16.999999996756877</v>
      </c>
      <c r="U37" s="9">
        <v>41.950180000000003</v>
      </c>
      <c r="V37" s="10">
        <v>0.97696910000000003</v>
      </c>
      <c r="W37" s="10">
        <f t="shared" si="2"/>
        <v>42.939106262419152</v>
      </c>
      <c r="X37" s="9">
        <v>40.078020000000002</v>
      </c>
      <c r="Y37" s="12">
        <v>1.0476099999999999</v>
      </c>
      <c r="Z37" s="10">
        <f t="shared" si="3"/>
        <v>38.256622216282778</v>
      </c>
      <c r="AA37" s="7">
        <v>0.56394044781368446</v>
      </c>
      <c r="AB37" s="7">
        <v>5.7584773102014465E-2</v>
      </c>
    </row>
    <row r="38" spans="1:32">
      <c r="A38" s="6" t="s">
        <v>22</v>
      </c>
      <c r="B38" s="6" t="s">
        <v>85</v>
      </c>
      <c r="C38" s="6">
        <v>1</v>
      </c>
      <c r="D38" s="6">
        <v>-5</v>
      </c>
      <c r="E38" s="6">
        <v>0.49</v>
      </c>
      <c r="F38" s="6" t="s">
        <v>2</v>
      </c>
      <c r="G38" s="6">
        <v>4</v>
      </c>
      <c r="H38" s="6">
        <v>4</v>
      </c>
      <c r="I38" s="6">
        <v>509</v>
      </c>
      <c r="J38" s="7">
        <v>808.50711439999998</v>
      </c>
      <c r="K38" s="7">
        <v>2123.7635700000001</v>
      </c>
      <c r="L38" s="7">
        <v>4120.2031850000003</v>
      </c>
      <c r="M38" s="7">
        <v>6243.966754</v>
      </c>
      <c r="N38" s="7">
        <f t="shared" si="0"/>
        <v>0.66271269526842069</v>
      </c>
      <c r="O38" s="7">
        <v>1909.8593249999999</v>
      </c>
      <c r="P38" s="7">
        <v>8658.0289420000008</v>
      </c>
      <c r="Q38" s="7">
        <v>48.394444440000001</v>
      </c>
      <c r="R38" s="6">
        <v>4</v>
      </c>
      <c r="S38" s="6">
        <v>12</v>
      </c>
      <c r="T38" s="8">
        <f t="shared" si="1"/>
        <v>14.999999997138419</v>
      </c>
      <c r="U38" s="9">
        <v>40.22587</v>
      </c>
      <c r="V38" s="10">
        <v>0.96493329999999999</v>
      </c>
      <c r="W38" s="10">
        <f t="shared" si="2"/>
        <v>41.687720798940198</v>
      </c>
      <c r="X38" s="9">
        <v>36.998649999999998</v>
      </c>
      <c r="Y38" s="10">
        <v>0.98644100000000001</v>
      </c>
      <c r="Z38" s="10">
        <f t="shared" si="3"/>
        <v>37.507210263969156</v>
      </c>
      <c r="AA38" s="7">
        <v>0.60700796135862622</v>
      </c>
      <c r="AB38" s="7">
        <v>7.722814727477352E-2</v>
      </c>
    </row>
    <row r="39" spans="1:32">
      <c r="A39" s="6" t="s">
        <v>78</v>
      </c>
      <c r="B39" s="6" t="s">
        <v>85</v>
      </c>
      <c r="C39" s="6">
        <v>2</v>
      </c>
      <c r="D39" s="6">
        <v>-5</v>
      </c>
      <c r="E39" s="6">
        <v>0.49</v>
      </c>
      <c r="F39" s="6" t="s">
        <v>2</v>
      </c>
      <c r="G39" s="6">
        <v>4</v>
      </c>
      <c r="H39" s="6"/>
      <c r="I39" s="6"/>
      <c r="J39" s="7"/>
      <c r="K39" s="7"/>
      <c r="L39" s="7"/>
      <c r="M39" s="7"/>
      <c r="N39" s="7"/>
      <c r="O39" s="7"/>
      <c r="P39" s="7"/>
      <c r="Q39" s="7"/>
      <c r="R39" s="6"/>
      <c r="S39" s="6"/>
      <c r="T39" s="8"/>
      <c r="U39" s="9"/>
      <c r="V39" s="12"/>
      <c r="W39" s="10"/>
      <c r="X39" s="9"/>
      <c r="Y39" s="10"/>
      <c r="Z39" s="10"/>
      <c r="AA39" s="7"/>
      <c r="AB39" s="7"/>
    </row>
    <row r="40" spans="1:32">
      <c r="A40" s="6" t="s">
        <v>55</v>
      </c>
      <c r="B40" s="6" t="s">
        <v>2</v>
      </c>
      <c r="C40" s="6">
        <v>3</v>
      </c>
      <c r="D40" s="6">
        <v>-5</v>
      </c>
      <c r="E40" s="6">
        <v>0.49</v>
      </c>
      <c r="F40" s="6" t="s">
        <v>2</v>
      </c>
      <c r="G40" s="6">
        <v>4</v>
      </c>
      <c r="H40" s="6">
        <v>5</v>
      </c>
      <c r="I40" s="6">
        <v>637</v>
      </c>
      <c r="J40" s="7">
        <v>639.16625420000003</v>
      </c>
      <c r="K40" s="7">
        <v>2505.7354350000001</v>
      </c>
      <c r="L40" s="7">
        <v>5514.4004919999998</v>
      </c>
      <c r="M40" s="7">
        <v>8020.1359270000003</v>
      </c>
      <c r="N40" s="7">
        <f t="shared" ref="N40:N51" si="4">LN(L40/K40)</f>
        <v>0.78878066353525345</v>
      </c>
      <c r="O40" s="7">
        <v>2419.1551450000002</v>
      </c>
      <c r="P40" s="7">
        <v>9676.6205819999996</v>
      </c>
      <c r="Q40" s="7">
        <v>53.215000000000003</v>
      </c>
      <c r="R40" s="6">
        <v>0</v>
      </c>
      <c r="S40" s="6">
        <v>16</v>
      </c>
      <c r="T40" s="8">
        <f t="shared" si="1"/>
        <v>18.999999996375333</v>
      </c>
      <c r="U40" s="6">
        <v>42.25</v>
      </c>
      <c r="V40" s="6">
        <v>0.66600000000000004</v>
      </c>
      <c r="W40" s="10">
        <f t="shared" si="2"/>
        <v>63.438438438438432</v>
      </c>
      <c r="X40" s="9">
        <v>43.320309999999999</v>
      </c>
      <c r="Y40" s="10">
        <v>0.67404750000000002</v>
      </c>
      <c r="Z40" s="10">
        <f t="shared" si="3"/>
        <v>64.268927634921866</v>
      </c>
      <c r="AA40" s="7">
        <v>0.61716289438401917</v>
      </c>
      <c r="AB40" s="7">
        <v>9.076403423337559E-2</v>
      </c>
    </row>
    <row r="41" spans="1:32">
      <c r="A41" s="6" t="s">
        <v>74</v>
      </c>
      <c r="B41" s="6" t="s">
        <v>2</v>
      </c>
      <c r="C41" s="6">
        <v>4</v>
      </c>
      <c r="D41" s="6">
        <v>-5</v>
      </c>
      <c r="E41" s="6">
        <v>0.49</v>
      </c>
      <c r="F41" s="6" t="s">
        <v>2</v>
      </c>
      <c r="G41" s="6">
        <v>4</v>
      </c>
      <c r="H41" s="6">
        <v>4</v>
      </c>
      <c r="I41" s="6">
        <v>509</v>
      </c>
      <c r="J41" s="7">
        <v>31.83098876</v>
      </c>
      <c r="K41" s="7">
        <v>3091.425628</v>
      </c>
      <c r="L41" s="7">
        <v>4494.5356119999997</v>
      </c>
      <c r="M41" s="7">
        <v>7585.9612399999996</v>
      </c>
      <c r="N41" s="7">
        <f t="shared" si="4"/>
        <v>0.37422999766511456</v>
      </c>
      <c r="O41" s="7">
        <v>3055.7749210000002</v>
      </c>
      <c r="P41" s="7">
        <v>10695.212219999999</v>
      </c>
      <c r="Q41" s="7">
        <v>50.887500000000003</v>
      </c>
      <c r="R41" s="6">
        <v>3</v>
      </c>
      <c r="S41" s="6">
        <v>21</v>
      </c>
      <c r="T41" s="8">
        <f t="shared" si="1"/>
        <v>24.000000003275456</v>
      </c>
      <c r="U41" s="9">
        <v>41.460380000000001</v>
      </c>
      <c r="V41" s="10">
        <v>0.64478489999999999</v>
      </c>
      <c r="W41" s="10">
        <f t="shared" si="2"/>
        <v>64.301102584753465</v>
      </c>
      <c r="X41" s="9">
        <v>41.44444</v>
      </c>
      <c r="Y41" s="10">
        <v>0.83899599999999996</v>
      </c>
      <c r="Z41" s="10">
        <f t="shared" si="3"/>
        <v>49.397661013878498</v>
      </c>
      <c r="AA41" s="7">
        <v>0.60585680827532362</v>
      </c>
      <c r="AB41" s="7">
        <v>6.9057296717354208E-2</v>
      </c>
    </row>
    <row r="42" spans="1:32">
      <c r="A42" s="6" t="s">
        <v>21</v>
      </c>
      <c r="B42" s="6" t="s">
        <v>2</v>
      </c>
      <c r="C42" s="6">
        <v>1</v>
      </c>
      <c r="D42" s="6">
        <v>-5</v>
      </c>
      <c r="E42" s="6">
        <v>0.49</v>
      </c>
      <c r="F42" s="6" t="s">
        <v>3</v>
      </c>
      <c r="G42" s="6">
        <v>0</v>
      </c>
      <c r="H42" s="6">
        <v>0</v>
      </c>
      <c r="I42" s="6">
        <v>0</v>
      </c>
      <c r="J42" s="7">
        <v>0</v>
      </c>
      <c r="K42" s="7">
        <v>1124.2705229999999</v>
      </c>
      <c r="L42" s="7">
        <v>3032.8566089999999</v>
      </c>
      <c r="M42" s="7">
        <v>4157.1271319999996</v>
      </c>
      <c r="N42" s="7">
        <f t="shared" si="4"/>
        <v>0.99237054929672242</v>
      </c>
      <c r="O42" s="7">
        <v>1655.211415</v>
      </c>
      <c r="P42" s="7">
        <v>5729.5779759999996</v>
      </c>
      <c r="Q42" s="7">
        <v>45.114285709999997</v>
      </c>
      <c r="R42" s="6">
        <v>3</v>
      </c>
      <c r="S42" s="6">
        <v>10</v>
      </c>
      <c r="T42" s="8">
        <f t="shared" si="1"/>
        <v>12.999999997519964</v>
      </c>
      <c r="U42" s="9">
        <v>42.194600000000001</v>
      </c>
      <c r="V42" s="10">
        <v>0.66171919999999995</v>
      </c>
      <c r="W42" s="10">
        <f t="shared" si="2"/>
        <v>63.765113661504763</v>
      </c>
      <c r="X42" s="9">
        <v>41.187469999999998</v>
      </c>
      <c r="Y42" s="10">
        <v>0.6870695</v>
      </c>
      <c r="Z42" s="10">
        <f t="shared" si="3"/>
        <v>59.946584734149887</v>
      </c>
      <c r="AA42" s="7">
        <v>0.59816436059424938</v>
      </c>
      <c r="AB42" s="7">
        <v>9.1685306262904401E-2</v>
      </c>
    </row>
    <row r="43" spans="1:32">
      <c r="A43" s="6" t="s">
        <v>37</v>
      </c>
      <c r="B43" s="6" t="s">
        <v>2</v>
      </c>
      <c r="C43" s="6">
        <v>2</v>
      </c>
      <c r="D43" s="6">
        <v>-5</v>
      </c>
      <c r="E43" s="6">
        <v>0.49</v>
      </c>
      <c r="F43" s="6" t="s">
        <v>3</v>
      </c>
      <c r="G43" s="6">
        <v>0</v>
      </c>
      <c r="H43" s="6">
        <v>0</v>
      </c>
      <c r="I43" s="6">
        <v>0</v>
      </c>
      <c r="J43" s="7">
        <v>0</v>
      </c>
      <c r="K43" s="7">
        <v>1026.2310769999999</v>
      </c>
      <c r="L43" s="7">
        <v>1385.284631</v>
      </c>
      <c r="M43" s="7">
        <v>2411.5157079999999</v>
      </c>
      <c r="N43" s="7">
        <f t="shared" si="4"/>
        <v>0.3000126856347155</v>
      </c>
      <c r="O43" s="7">
        <v>1273.23955</v>
      </c>
      <c r="P43" s="7">
        <v>4583.6623810000001</v>
      </c>
      <c r="Q43" s="7">
        <v>38.253846150000001</v>
      </c>
      <c r="R43" s="6">
        <v>0</v>
      </c>
      <c r="S43" s="6">
        <v>7</v>
      </c>
      <c r="T43" s="8">
        <f t="shared" si="1"/>
        <v>9.9999999980922798</v>
      </c>
      <c r="U43" s="9">
        <v>40.571100000000001</v>
      </c>
      <c r="V43" s="10">
        <v>0.82765849999999996</v>
      </c>
      <c r="W43" s="10">
        <f t="shared" si="2"/>
        <v>49.019130474706664</v>
      </c>
      <c r="X43" s="9">
        <v>36.560870000000001</v>
      </c>
      <c r="Y43" s="12">
        <v>1.056888</v>
      </c>
      <c r="Z43" s="10">
        <f t="shared" si="3"/>
        <v>34.592946461687518</v>
      </c>
      <c r="AA43" s="7">
        <v>0.60396046922468527</v>
      </c>
      <c r="AB43" s="7">
        <v>8.396946564885488E-2</v>
      </c>
    </row>
    <row r="44" spans="1:32">
      <c r="A44" s="6" t="s">
        <v>53</v>
      </c>
      <c r="B44" s="6" t="s">
        <v>2</v>
      </c>
      <c r="C44" s="6">
        <v>3</v>
      </c>
      <c r="D44" s="6">
        <v>-5</v>
      </c>
      <c r="E44" s="6">
        <v>0.49</v>
      </c>
      <c r="F44" s="6" t="s">
        <v>3</v>
      </c>
      <c r="G44" s="6">
        <v>0</v>
      </c>
      <c r="H44" s="6">
        <v>0</v>
      </c>
      <c r="I44" s="6">
        <v>0</v>
      </c>
      <c r="J44" s="7">
        <v>1.27323955</v>
      </c>
      <c r="K44" s="7">
        <v>828.87894719999997</v>
      </c>
      <c r="L44" s="7">
        <v>1352.180402</v>
      </c>
      <c r="M44" s="7">
        <v>2181.05935</v>
      </c>
      <c r="N44" s="7">
        <f t="shared" si="4"/>
        <v>0.48939955933839291</v>
      </c>
      <c r="O44" s="7">
        <v>891.26768519999996</v>
      </c>
      <c r="P44" s="7">
        <v>3947.042606</v>
      </c>
      <c r="Q44" s="7">
        <v>39.020000000000003</v>
      </c>
      <c r="R44" s="6">
        <v>1</v>
      </c>
      <c r="S44" s="6">
        <v>4</v>
      </c>
      <c r="T44" s="8">
        <f t="shared" si="1"/>
        <v>7.0000000002353922</v>
      </c>
      <c r="U44" s="6">
        <v>41.95</v>
      </c>
      <c r="V44" s="6">
        <v>0.70299999999999996</v>
      </c>
      <c r="W44" s="10">
        <f t="shared" si="2"/>
        <v>59.672830725462312</v>
      </c>
      <c r="X44" s="9">
        <v>38.922559999999997</v>
      </c>
      <c r="Y44" s="10">
        <v>0.9071941</v>
      </c>
      <c r="Z44" s="10">
        <f t="shared" si="3"/>
        <v>42.904335466908343</v>
      </c>
      <c r="AA44" s="7">
        <v>0.62123803837402569</v>
      </c>
      <c r="AB44" s="7">
        <v>8.395287902349656E-2</v>
      </c>
    </row>
    <row r="45" spans="1:32">
      <c r="A45" s="6" t="s">
        <v>71</v>
      </c>
      <c r="B45" s="6" t="s">
        <v>2</v>
      </c>
      <c r="C45" s="6">
        <v>4</v>
      </c>
      <c r="D45" s="6">
        <v>-5</v>
      </c>
      <c r="E45" s="6">
        <v>0.49</v>
      </c>
      <c r="F45" s="6" t="s">
        <v>3</v>
      </c>
      <c r="G45" s="6">
        <v>0</v>
      </c>
      <c r="H45" s="6">
        <v>0</v>
      </c>
      <c r="I45" s="6">
        <v>0</v>
      </c>
      <c r="J45" s="7">
        <v>0</v>
      </c>
      <c r="K45" s="7">
        <v>594.60287000000005</v>
      </c>
      <c r="L45" s="7">
        <v>1749.4311419999999</v>
      </c>
      <c r="M45" s="7">
        <v>2344.0340120000001</v>
      </c>
      <c r="N45" s="7">
        <f t="shared" si="4"/>
        <v>1.0791522150326123</v>
      </c>
      <c r="O45" s="7">
        <v>1527.8874599999999</v>
      </c>
      <c r="P45" s="7">
        <v>3947.042606</v>
      </c>
      <c r="Q45" s="7">
        <v>40.233333330000001</v>
      </c>
      <c r="R45" s="6">
        <v>0</v>
      </c>
      <c r="S45" s="6">
        <v>9</v>
      </c>
      <c r="T45" s="8">
        <f t="shared" si="1"/>
        <v>11.999999997710736</v>
      </c>
      <c r="U45" s="9">
        <v>41.933579999999999</v>
      </c>
      <c r="V45" s="10">
        <v>0.64229930000000002</v>
      </c>
      <c r="W45" s="10">
        <f t="shared" si="2"/>
        <v>65.286666200632624</v>
      </c>
      <c r="X45" s="9">
        <v>38.63205</v>
      </c>
      <c r="Y45" s="10">
        <v>0.69130429999999998</v>
      </c>
      <c r="Z45" s="10">
        <f t="shared" si="3"/>
        <v>55.882843488750176</v>
      </c>
      <c r="AA45" s="7">
        <v>0.53712229412187129</v>
      </c>
      <c r="AB45" s="7">
        <v>7.1416258705095478E-2</v>
      </c>
    </row>
    <row r="46" spans="1:32">
      <c r="A46" s="6" t="s">
        <v>23</v>
      </c>
      <c r="B46" s="6" t="s">
        <v>2</v>
      </c>
      <c r="C46" s="6">
        <v>1</v>
      </c>
      <c r="D46" s="6">
        <v>-5</v>
      </c>
      <c r="E46" s="6">
        <v>0.49</v>
      </c>
      <c r="F46" s="6" t="s">
        <v>1</v>
      </c>
      <c r="G46" s="6">
        <v>2</v>
      </c>
      <c r="H46" s="6">
        <v>2</v>
      </c>
      <c r="I46" s="6">
        <v>255</v>
      </c>
      <c r="J46" s="7">
        <v>276.29298240000003</v>
      </c>
      <c r="K46" s="7">
        <v>1278.332508</v>
      </c>
      <c r="L46" s="7">
        <v>5129.8821479999997</v>
      </c>
      <c r="M46" s="7">
        <v>6408.2146560000001</v>
      </c>
      <c r="N46" s="7">
        <f t="shared" si="4"/>
        <v>1.3895261853008096</v>
      </c>
      <c r="O46" s="7">
        <v>2801.127011</v>
      </c>
      <c r="P46" s="7">
        <v>10058.59245</v>
      </c>
      <c r="Q46" s="7">
        <v>51.516363640000002</v>
      </c>
      <c r="R46" s="6">
        <v>5</v>
      </c>
      <c r="S46" s="6">
        <v>19</v>
      </c>
      <c r="T46" s="8">
        <f t="shared" si="1"/>
        <v>22.000000003656996</v>
      </c>
      <c r="U46" s="9">
        <v>42.30894</v>
      </c>
      <c r="V46" s="12">
        <v>0.69495370000000001</v>
      </c>
      <c r="W46" s="10">
        <f t="shared" si="2"/>
        <v>60.88022842385039</v>
      </c>
      <c r="X46" s="9">
        <v>38.957439999999998</v>
      </c>
      <c r="Y46" s="10">
        <v>0.80926750000000003</v>
      </c>
      <c r="Z46" s="10">
        <f t="shared" si="3"/>
        <v>48.139138171247453</v>
      </c>
      <c r="AA46" s="7">
        <v>0.59077894837582845</v>
      </c>
      <c r="AB46" s="7">
        <v>9.7834772271052944E-2</v>
      </c>
    </row>
    <row r="47" spans="1:32">
      <c r="A47" s="6" t="s">
        <v>39</v>
      </c>
      <c r="B47" s="6" t="s">
        <v>2</v>
      </c>
      <c r="C47" s="6">
        <v>2</v>
      </c>
      <c r="D47" s="6">
        <v>-5</v>
      </c>
      <c r="E47" s="6">
        <v>0.49</v>
      </c>
      <c r="F47" s="6" t="s">
        <v>1</v>
      </c>
      <c r="G47" s="6">
        <v>2</v>
      </c>
      <c r="H47" s="6">
        <v>2</v>
      </c>
      <c r="I47" s="6">
        <v>255</v>
      </c>
      <c r="J47" s="7">
        <v>341.22819950000002</v>
      </c>
      <c r="K47" s="7">
        <v>2692.9016489999999</v>
      </c>
      <c r="L47" s="7">
        <v>4404.1356040000001</v>
      </c>
      <c r="M47" s="7">
        <v>7097.0372530000004</v>
      </c>
      <c r="N47" s="7">
        <f t="shared" si="4"/>
        <v>0.49192471730316306</v>
      </c>
      <c r="O47" s="7">
        <v>2928.4509659999999</v>
      </c>
      <c r="P47" s="7">
        <v>9040.0008070000003</v>
      </c>
      <c r="Q47" s="7">
        <v>47.55</v>
      </c>
      <c r="R47" s="6">
        <v>1</v>
      </c>
      <c r="S47" s="6">
        <v>20</v>
      </c>
      <c r="T47" s="8">
        <f t="shared" si="1"/>
        <v>23.000000003466226</v>
      </c>
      <c r="U47" s="9">
        <v>43.059519999999999</v>
      </c>
      <c r="V47" s="10">
        <v>0.69568090000000005</v>
      </c>
      <c r="W47" s="10">
        <f t="shared" si="2"/>
        <v>61.895504102527461</v>
      </c>
      <c r="X47" s="9">
        <v>40.326079999999997</v>
      </c>
      <c r="Y47" s="10">
        <v>0.74790460000000003</v>
      </c>
      <c r="Z47" s="10">
        <f t="shared" si="3"/>
        <v>53.918748460699391</v>
      </c>
      <c r="AA47" s="7">
        <v>0.60756201347339789</v>
      </c>
      <c r="AB47" s="7">
        <v>8.6838407494145106E-2</v>
      </c>
    </row>
    <row r="48" spans="1:32">
      <c r="A48" s="6" t="s">
        <v>54</v>
      </c>
      <c r="B48" s="6" t="s">
        <v>2</v>
      </c>
      <c r="C48" s="6">
        <v>3</v>
      </c>
      <c r="D48" s="6">
        <v>-5</v>
      </c>
      <c r="E48" s="6">
        <v>0.49</v>
      </c>
      <c r="F48" s="6" t="s">
        <v>1</v>
      </c>
      <c r="G48" s="6">
        <v>2</v>
      </c>
      <c r="H48" s="6">
        <v>2</v>
      </c>
      <c r="I48" s="6">
        <v>255</v>
      </c>
      <c r="J48" s="7">
        <v>208.81128620000001</v>
      </c>
      <c r="K48" s="7">
        <v>1974.7945420000001</v>
      </c>
      <c r="L48" s="7">
        <v>3941.9496479999998</v>
      </c>
      <c r="M48" s="7">
        <v>5916.7441900000003</v>
      </c>
      <c r="N48" s="7">
        <f t="shared" si="4"/>
        <v>0.69121107186281583</v>
      </c>
      <c r="O48" s="7">
        <v>1909.8593249999999</v>
      </c>
      <c r="P48" s="7">
        <v>7257.4654360000004</v>
      </c>
      <c r="Q48" s="7">
        <v>50.41764706</v>
      </c>
      <c r="R48" s="6">
        <v>5</v>
      </c>
      <c r="S48" s="6">
        <v>12</v>
      </c>
      <c r="T48" s="8">
        <f t="shared" si="1"/>
        <v>14.999999997138419</v>
      </c>
      <c r="U48" s="6">
        <v>42.18</v>
      </c>
      <c r="V48" s="6">
        <v>0.67100000000000004</v>
      </c>
      <c r="W48" s="10">
        <f t="shared" si="2"/>
        <v>62.861400894187774</v>
      </c>
      <c r="X48" s="9">
        <v>41.284410000000001</v>
      </c>
      <c r="Y48" s="10">
        <v>0.72468860000000002</v>
      </c>
      <c r="Z48" s="10">
        <f t="shared" si="3"/>
        <v>56.96848273865492</v>
      </c>
      <c r="AA48" s="7">
        <v>0.61225582225256392</v>
      </c>
      <c r="AB48" s="7">
        <v>9.0094235809607723E-2</v>
      </c>
    </row>
    <row r="49" spans="1:28">
      <c r="A49" s="6" t="s">
        <v>73</v>
      </c>
      <c r="B49" s="6" t="s">
        <v>2</v>
      </c>
      <c r="C49" s="6">
        <v>4</v>
      </c>
      <c r="D49" s="6">
        <v>-5</v>
      </c>
      <c r="E49" s="6">
        <v>0.49</v>
      </c>
      <c r="F49" s="6" t="s">
        <v>1</v>
      </c>
      <c r="G49" s="6">
        <v>2</v>
      </c>
      <c r="H49" s="6">
        <v>2</v>
      </c>
      <c r="I49" s="6">
        <v>255</v>
      </c>
      <c r="J49" s="7">
        <v>516.93525739999995</v>
      </c>
      <c r="K49" s="7">
        <v>2243.4480880000001</v>
      </c>
      <c r="L49" s="7">
        <v>4255.166577</v>
      </c>
      <c r="M49" s="7">
        <v>6498.6146639999997</v>
      </c>
      <c r="N49" s="7">
        <f t="shared" si="4"/>
        <v>0.64011990246955353</v>
      </c>
      <c r="O49" s="7">
        <v>2928.4509659999999</v>
      </c>
      <c r="P49" s="7">
        <v>11459.15595</v>
      </c>
      <c r="Q49" s="7">
        <v>41.741666670000001</v>
      </c>
      <c r="R49" s="6">
        <v>6</v>
      </c>
      <c r="S49" s="6">
        <v>20</v>
      </c>
      <c r="T49" s="8">
        <f t="shared" si="1"/>
        <v>23.000000003466226</v>
      </c>
      <c r="U49" s="9">
        <v>39.224679999999999</v>
      </c>
      <c r="V49" s="10">
        <v>0.99223410000000001</v>
      </c>
      <c r="W49" s="10">
        <f t="shared" si="2"/>
        <v>39.531679066462239</v>
      </c>
      <c r="X49" s="9">
        <v>38.52008</v>
      </c>
      <c r="Y49" s="10">
        <v>0.71799550000000001</v>
      </c>
      <c r="Z49" s="10">
        <f t="shared" si="3"/>
        <v>53.649472733464208</v>
      </c>
      <c r="AA49" s="7">
        <v>0.54157355679702046</v>
      </c>
      <c r="AB49" s="7">
        <v>7.2441691208828402E-2</v>
      </c>
    </row>
    <row r="50" spans="1:28">
      <c r="A50" s="6" t="s">
        <v>27</v>
      </c>
      <c r="B50" s="6" t="s">
        <v>3</v>
      </c>
      <c r="C50" s="6">
        <v>1</v>
      </c>
      <c r="D50" s="6">
        <v>-10</v>
      </c>
      <c r="E50" s="6">
        <v>0.6</v>
      </c>
      <c r="F50" s="6" t="s">
        <v>0</v>
      </c>
      <c r="G50" s="6">
        <v>8</v>
      </c>
      <c r="H50" s="6">
        <v>8</v>
      </c>
      <c r="I50" s="6">
        <v>1019</v>
      </c>
      <c r="J50" s="7">
        <v>1098.805732</v>
      </c>
      <c r="K50" s="7">
        <v>2521.0143090000001</v>
      </c>
      <c r="L50" s="7">
        <v>6254.1526709999998</v>
      </c>
      <c r="M50" s="7">
        <v>8775.16698</v>
      </c>
      <c r="N50" s="7">
        <f t="shared" si="4"/>
        <v>0.90858434636224861</v>
      </c>
      <c r="O50" s="7">
        <v>3055.7749210000002</v>
      </c>
      <c r="P50" s="7">
        <v>14387.60692</v>
      </c>
      <c r="Q50" s="7">
        <v>55.835999999999999</v>
      </c>
      <c r="R50" s="6">
        <v>4</v>
      </c>
      <c r="S50" s="6">
        <v>21</v>
      </c>
      <c r="T50" s="8">
        <f t="shared" si="1"/>
        <v>24.000000003275456</v>
      </c>
      <c r="U50" s="9">
        <v>41.724080000000001</v>
      </c>
      <c r="V50" s="10">
        <v>0.92596389999999995</v>
      </c>
      <c r="W50" s="10">
        <f t="shared" si="2"/>
        <v>45.060158392783997</v>
      </c>
      <c r="X50" s="9">
        <v>43.353149999999999</v>
      </c>
      <c r="Y50" s="10">
        <v>0.78554829999999998</v>
      </c>
      <c r="Z50" s="10">
        <f t="shared" si="3"/>
        <v>55.188395162970885</v>
      </c>
      <c r="AA50" s="7">
        <v>0.60516282307559666</v>
      </c>
      <c r="AB50" s="7">
        <v>9.6402691511387167E-2</v>
      </c>
    </row>
    <row r="51" spans="1:28">
      <c r="A51" s="6" t="s">
        <v>41</v>
      </c>
      <c r="B51" s="6" t="s">
        <v>3</v>
      </c>
      <c r="C51" s="6">
        <v>2</v>
      </c>
      <c r="D51" s="6">
        <v>-10</v>
      </c>
      <c r="E51" s="6">
        <v>0.6</v>
      </c>
      <c r="F51" s="6" t="s">
        <v>0</v>
      </c>
      <c r="G51" s="6">
        <v>8</v>
      </c>
      <c r="H51" s="6">
        <v>9</v>
      </c>
      <c r="I51" s="6">
        <v>1146</v>
      </c>
      <c r="J51" s="7">
        <v>552.58596480000006</v>
      </c>
      <c r="K51" s="7">
        <v>865.80289419999997</v>
      </c>
      <c r="L51" s="7">
        <v>3119.4368979999999</v>
      </c>
      <c r="M51" s="7">
        <v>3985.2397919999999</v>
      </c>
      <c r="N51" s="7">
        <f t="shared" si="4"/>
        <v>1.2817505052979061</v>
      </c>
      <c r="O51" s="7">
        <v>1782.5353700000001</v>
      </c>
      <c r="P51" s="7">
        <v>7257.4654360000004</v>
      </c>
      <c r="Q51" s="7">
        <v>46.47142857</v>
      </c>
      <c r="R51" s="6">
        <v>1</v>
      </c>
      <c r="S51" s="6">
        <v>11</v>
      </c>
      <c r="T51" s="8">
        <f t="shared" si="1"/>
        <v>13.999999997329194</v>
      </c>
      <c r="U51" s="9">
        <v>42.69117</v>
      </c>
      <c r="V51" s="12">
        <v>1.0904339999999999</v>
      </c>
      <c r="W51" s="10">
        <f t="shared" si="2"/>
        <v>39.150622596140622</v>
      </c>
      <c r="X51" s="9">
        <v>39.690060000000003</v>
      </c>
      <c r="Y51" s="12">
        <v>1.4136</v>
      </c>
      <c r="Z51" s="10">
        <f t="shared" si="3"/>
        <v>28.077292020373516</v>
      </c>
      <c r="AA51" s="7">
        <v>0.61396608934700092</v>
      </c>
      <c r="AB51" s="7">
        <v>9.1795060818282259E-2</v>
      </c>
    </row>
    <row r="52" spans="1:28">
      <c r="A52" s="6" t="s">
        <v>79</v>
      </c>
      <c r="B52" s="6" t="s">
        <v>3</v>
      </c>
      <c r="C52" s="6">
        <v>3</v>
      </c>
      <c r="D52" s="6">
        <v>-10</v>
      </c>
      <c r="E52" s="6">
        <v>0.6</v>
      </c>
      <c r="F52" s="6" t="s">
        <v>0</v>
      </c>
      <c r="G52" s="6">
        <v>8</v>
      </c>
      <c r="H52" s="6"/>
      <c r="I52" s="6"/>
      <c r="J52" s="7"/>
      <c r="K52" s="7"/>
      <c r="L52" s="7"/>
      <c r="M52" s="7"/>
      <c r="N52" s="7"/>
      <c r="O52" s="7"/>
      <c r="P52" s="7"/>
      <c r="Q52" s="7"/>
      <c r="R52" s="6"/>
      <c r="S52" s="6"/>
      <c r="T52" s="8"/>
      <c r="U52" s="6"/>
      <c r="V52" s="6"/>
      <c r="W52" s="10"/>
      <c r="X52" s="9"/>
      <c r="Y52" s="10"/>
      <c r="Z52" s="10"/>
      <c r="AA52" s="7"/>
      <c r="AB52" s="7"/>
    </row>
    <row r="53" spans="1:28">
      <c r="A53" s="6" t="s">
        <v>80</v>
      </c>
      <c r="B53" s="6" t="s">
        <v>3</v>
      </c>
      <c r="C53" s="6">
        <v>4</v>
      </c>
      <c r="D53" s="6">
        <v>-10</v>
      </c>
      <c r="E53" s="6">
        <v>0.6</v>
      </c>
      <c r="F53" s="6" t="s">
        <v>0</v>
      </c>
      <c r="G53" s="6">
        <v>8</v>
      </c>
      <c r="H53" s="6"/>
      <c r="I53" s="6"/>
      <c r="J53" s="7"/>
      <c r="K53" s="7"/>
      <c r="L53" s="7"/>
      <c r="M53" s="7"/>
      <c r="N53" s="7"/>
      <c r="O53" s="7"/>
      <c r="P53" s="7"/>
      <c r="Q53" s="7"/>
      <c r="R53" s="6"/>
      <c r="S53" s="6"/>
      <c r="T53" s="8"/>
      <c r="U53" s="9"/>
      <c r="V53" s="10"/>
      <c r="W53" s="10"/>
      <c r="X53" s="9"/>
      <c r="Y53" s="12"/>
      <c r="Z53" s="10"/>
      <c r="AA53" s="7"/>
      <c r="AB53" s="7"/>
    </row>
    <row r="54" spans="1:28">
      <c r="A54" s="6" t="s">
        <v>24</v>
      </c>
      <c r="B54" s="6" t="s">
        <v>3</v>
      </c>
      <c r="C54" s="6">
        <v>1</v>
      </c>
      <c r="D54" s="6">
        <v>-10</v>
      </c>
      <c r="E54" s="6">
        <v>0.6</v>
      </c>
      <c r="F54" s="6" t="s">
        <v>2</v>
      </c>
      <c r="G54" s="6">
        <v>4</v>
      </c>
      <c r="H54" s="6">
        <v>4</v>
      </c>
      <c r="I54" s="6">
        <v>509</v>
      </c>
      <c r="J54" s="7">
        <v>547.49300659999994</v>
      </c>
      <c r="K54" s="7">
        <v>258.46762869999998</v>
      </c>
      <c r="L54" s="7">
        <v>87.853528969999999</v>
      </c>
      <c r="M54" s="7">
        <v>346.32115770000001</v>
      </c>
      <c r="N54" s="7">
        <f>LN(L54/K54)</f>
        <v>-1.0790994744103242</v>
      </c>
      <c r="O54" s="7">
        <v>0</v>
      </c>
      <c r="P54" s="7">
        <v>0</v>
      </c>
      <c r="Q54" s="7">
        <v>7.8</v>
      </c>
      <c r="R54" s="6">
        <v>0</v>
      </c>
      <c r="S54" s="6">
        <v>0</v>
      </c>
      <c r="T54" s="8">
        <f t="shared" si="1"/>
        <v>0</v>
      </c>
      <c r="U54" s="9">
        <v>41.908819999999999</v>
      </c>
      <c r="V54" s="10">
        <v>1.032918</v>
      </c>
      <c r="W54" s="10">
        <f t="shared" si="2"/>
        <v>40.573230401638853</v>
      </c>
      <c r="X54" s="9">
        <v>27.003050000000002</v>
      </c>
      <c r="Y54" s="10">
        <v>0.84778419999999999</v>
      </c>
      <c r="Z54" s="10">
        <f t="shared" si="3"/>
        <v>31.851324900841515</v>
      </c>
      <c r="AA54" s="7">
        <v>0.64541928068579091</v>
      </c>
      <c r="AB54" s="7">
        <v>8.9866963803349437E-2</v>
      </c>
    </row>
    <row r="55" spans="1:28">
      <c r="A55" s="6" t="s">
        <v>81</v>
      </c>
      <c r="B55" s="6" t="s">
        <v>3</v>
      </c>
      <c r="C55" s="6">
        <v>2</v>
      </c>
      <c r="D55" s="6">
        <v>-10</v>
      </c>
      <c r="E55" s="6">
        <v>0.6</v>
      </c>
      <c r="F55" s="6" t="s">
        <v>2</v>
      </c>
      <c r="G55" s="6">
        <v>4</v>
      </c>
      <c r="H55" s="6"/>
      <c r="I55" s="6"/>
      <c r="J55" s="7"/>
      <c r="K55" s="7"/>
      <c r="L55" s="7"/>
      <c r="M55" s="7"/>
      <c r="N55" s="7"/>
      <c r="O55" s="7"/>
      <c r="P55" s="7"/>
      <c r="Q55" s="7"/>
      <c r="R55" s="6"/>
      <c r="S55" s="6"/>
      <c r="T55" s="8"/>
      <c r="U55" s="9"/>
      <c r="V55" s="12"/>
      <c r="W55" s="10"/>
      <c r="X55" s="9"/>
      <c r="Y55" s="10"/>
      <c r="Z55" s="10"/>
      <c r="AA55" s="7"/>
      <c r="AB55" s="7"/>
    </row>
    <row r="56" spans="1:28">
      <c r="A56" s="6" t="s">
        <v>58</v>
      </c>
      <c r="B56" s="6" t="s">
        <v>3</v>
      </c>
      <c r="C56" s="6">
        <v>3</v>
      </c>
      <c r="D56" s="6">
        <v>-10</v>
      </c>
      <c r="E56" s="6">
        <v>0.6</v>
      </c>
      <c r="F56" s="6" t="s">
        <v>2</v>
      </c>
      <c r="G56" s="6">
        <v>4</v>
      </c>
      <c r="H56" s="6">
        <v>4</v>
      </c>
      <c r="I56" s="6">
        <v>509</v>
      </c>
      <c r="J56" s="7">
        <v>505.4761014</v>
      </c>
      <c r="K56" s="7">
        <v>1340.7212460000001</v>
      </c>
      <c r="L56" s="7">
        <v>3501.4087629999999</v>
      </c>
      <c r="M56" s="7">
        <v>4842.1300099999999</v>
      </c>
      <c r="N56" s="7">
        <f t="shared" ref="N56:N66" si="5">LN(L56/K56)</f>
        <v>0.9599576787813211</v>
      </c>
      <c r="O56" s="7">
        <v>2037.18328</v>
      </c>
      <c r="P56" s="7">
        <v>8021.4091669999998</v>
      </c>
      <c r="Q56" s="7">
        <v>47.366666670000001</v>
      </c>
      <c r="R56" s="6">
        <v>3</v>
      </c>
      <c r="S56" s="6">
        <v>13</v>
      </c>
      <c r="T56" s="8">
        <f t="shared" si="1"/>
        <v>15.999999996947649</v>
      </c>
      <c r="U56" s="6">
        <v>41.97</v>
      </c>
      <c r="V56" s="6">
        <v>0.95499999999999996</v>
      </c>
      <c r="W56" s="10">
        <f t="shared" si="2"/>
        <v>43.947643979057595</v>
      </c>
      <c r="X56" s="9">
        <v>40.515120000000003</v>
      </c>
      <c r="Y56" s="10">
        <v>0.7961819</v>
      </c>
      <c r="Z56" s="10">
        <f t="shared" si="3"/>
        <v>50.886763439359775</v>
      </c>
      <c r="AA56" s="7">
        <v>0.55469596162772705</v>
      </c>
      <c r="AB56" s="7">
        <v>5.9635711934457457E-2</v>
      </c>
    </row>
    <row r="57" spans="1:28">
      <c r="A57" s="6" t="s">
        <v>77</v>
      </c>
      <c r="B57" s="6" t="s">
        <v>3</v>
      </c>
      <c r="C57" s="6">
        <v>4</v>
      </c>
      <c r="D57" s="6">
        <v>-10</v>
      </c>
      <c r="E57" s="6">
        <v>0.6</v>
      </c>
      <c r="F57" s="6" t="s">
        <v>2</v>
      </c>
      <c r="G57" s="6">
        <v>4</v>
      </c>
      <c r="H57" s="6">
        <v>5</v>
      </c>
      <c r="I57" s="6">
        <v>637</v>
      </c>
      <c r="J57" s="7">
        <v>128.59719459999999</v>
      </c>
      <c r="K57" s="7">
        <v>2141.5889240000001</v>
      </c>
      <c r="L57" s="7">
        <v>5021.6567859999996</v>
      </c>
      <c r="M57" s="7">
        <v>7163.2457100000001</v>
      </c>
      <c r="N57" s="7">
        <f t="shared" si="5"/>
        <v>0.85221187492869388</v>
      </c>
      <c r="O57" s="7">
        <v>2419.1551450000002</v>
      </c>
      <c r="P57" s="7">
        <v>10695.212219999999</v>
      </c>
      <c r="Q57" s="7">
        <v>57.066666669999996</v>
      </c>
      <c r="R57" s="6">
        <v>8</v>
      </c>
      <c r="S57" s="6">
        <v>16</v>
      </c>
      <c r="T57" s="8">
        <f t="shared" si="1"/>
        <v>18.999999996375333</v>
      </c>
      <c r="U57" s="9">
        <v>42.177039999999998</v>
      </c>
      <c r="V57" s="10">
        <v>0.67244320000000002</v>
      </c>
      <c r="W57" s="10">
        <f t="shared" si="2"/>
        <v>62.722085672068658</v>
      </c>
      <c r="X57" s="9">
        <v>37.946429999999999</v>
      </c>
      <c r="Y57" s="10">
        <v>0.83897560000000004</v>
      </c>
      <c r="Z57" s="10">
        <f t="shared" si="3"/>
        <v>45.229479856148373</v>
      </c>
      <c r="AA57" s="7">
        <v>0.53679433654020692</v>
      </c>
      <c r="AB57" s="7">
        <v>6.6404106904929802E-2</v>
      </c>
    </row>
    <row r="58" spans="1:28">
      <c r="A58" s="6" t="s">
        <v>26</v>
      </c>
      <c r="B58" s="6" t="s">
        <v>3</v>
      </c>
      <c r="C58" s="6">
        <v>1</v>
      </c>
      <c r="D58" s="6">
        <v>-10</v>
      </c>
      <c r="E58" s="6">
        <v>0.6</v>
      </c>
      <c r="F58" s="6" t="s">
        <v>3</v>
      </c>
      <c r="G58" s="6">
        <v>0</v>
      </c>
      <c r="H58" s="6">
        <v>0</v>
      </c>
      <c r="I58" s="6">
        <v>0</v>
      </c>
      <c r="J58" s="7">
        <v>0</v>
      </c>
      <c r="K58" s="7">
        <v>662.08456609999996</v>
      </c>
      <c r="L58" s="7">
        <v>1012.225442</v>
      </c>
      <c r="M58" s="7">
        <v>1674.310009</v>
      </c>
      <c r="N58" s="7">
        <f t="shared" si="5"/>
        <v>0.42451330268084031</v>
      </c>
      <c r="O58" s="7">
        <v>891.26768519999996</v>
      </c>
      <c r="P58" s="7">
        <v>3565.070741</v>
      </c>
      <c r="Q58" s="7">
        <v>34.828571429999997</v>
      </c>
      <c r="R58" s="6">
        <v>0</v>
      </c>
      <c r="S58" s="6">
        <v>4</v>
      </c>
      <c r="T58" s="8">
        <f t="shared" si="1"/>
        <v>7.0000000002353922</v>
      </c>
      <c r="U58" s="9">
        <v>41.563479999999998</v>
      </c>
      <c r="V58" s="10">
        <v>0.82047170000000003</v>
      </c>
      <c r="W58" s="10">
        <f t="shared" si="2"/>
        <v>50.658030008835155</v>
      </c>
      <c r="X58" s="9">
        <v>39.054380000000002</v>
      </c>
      <c r="Y58" s="10">
        <v>0.84449019999999997</v>
      </c>
      <c r="Z58" s="10">
        <f t="shared" si="3"/>
        <v>46.246102086205383</v>
      </c>
      <c r="AA58" s="7">
        <v>0.59935467771606976</v>
      </c>
      <c r="AB58" s="7">
        <v>7.5653987658970481E-2</v>
      </c>
    </row>
    <row r="59" spans="1:28">
      <c r="A59" s="6" t="s">
        <v>40</v>
      </c>
      <c r="B59" s="6" t="s">
        <v>3</v>
      </c>
      <c r="C59" s="6">
        <v>2</v>
      </c>
      <c r="D59" s="6">
        <v>-10</v>
      </c>
      <c r="E59" s="6">
        <v>0.6</v>
      </c>
      <c r="F59" s="6" t="s">
        <v>3</v>
      </c>
      <c r="G59" s="6">
        <v>0</v>
      </c>
      <c r="H59" s="6">
        <v>0</v>
      </c>
      <c r="I59" s="6">
        <v>0</v>
      </c>
      <c r="J59" s="7">
        <v>0</v>
      </c>
      <c r="K59" s="7">
        <v>851.79725910000002</v>
      </c>
      <c r="L59" s="7">
        <v>1415.84238</v>
      </c>
      <c r="M59" s="7">
        <v>2267.639639</v>
      </c>
      <c r="N59" s="7">
        <f t="shared" si="5"/>
        <v>0.50813141478871826</v>
      </c>
      <c r="O59" s="7">
        <v>2419.1551450000002</v>
      </c>
      <c r="P59" s="7">
        <v>5856.9019310000003</v>
      </c>
      <c r="Q59" s="7">
        <v>28.665217389999999</v>
      </c>
      <c r="R59" s="6">
        <v>0</v>
      </c>
      <c r="S59" s="6">
        <v>16</v>
      </c>
      <c r="T59" s="8">
        <f t="shared" si="1"/>
        <v>18.999999996375333</v>
      </c>
      <c r="U59" s="9">
        <v>42.455820000000003</v>
      </c>
      <c r="V59" s="10">
        <v>0.77006059999999998</v>
      </c>
      <c r="W59" s="10">
        <f t="shared" si="2"/>
        <v>55.133089525681491</v>
      </c>
      <c r="X59" s="9">
        <v>34.875549999999997</v>
      </c>
      <c r="Y59" s="10">
        <v>0.94751189999999996</v>
      </c>
      <c r="Z59" s="10">
        <f t="shared" si="3"/>
        <v>36.807506058762954</v>
      </c>
      <c r="AA59" s="7">
        <v>0.6610045412071397</v>
      </c>
      <c r="AB59" s="7">
        <v>9.1595414084309212E-2</v>
      </c>
    </row>
    <row r="60" spans="1:28">
      <c r="A60" s="6" t="s">
        <v>57</v>
      </c>
      <c r="B60" s="6" t="s">
        <v>3</v>
      </c>
      <c r="C60" s="6">
        <v>3</v>
      </c>
      <c r="D60" s="6">
        <v>-10</v>
      </c>
      <c r="E60" s="6">
        <v>0.6</v>
      </c>
      <c r="F60" s="6" t="s">
        <v>3</v>
      </c>
      <c r="G60" s="6">
        <v>0</v>
      </c>
      <c r="H60" s="6">
        <v>0</v>
      </c>
      <c r="I60" s="6">
        <v>0</v>
      </c>
      <c r="J60" s="7">
        <v>0</v>
      </c>
      <c r="K60" s="7">
        <v>770.30992790000005</v>
      </c>
      <c r="L60" s="7">
        <v>2458.6255719999999</v>
      </c>
      <c r="M60" s="7">
        <v>3228.9354990000002</v>
      </c>
      <c r="N60" s="7">
        <f t="shared" si="5"/>
        <v>1.1605648245893407</v>
      </c>
      <c r="O60" s="7">
        <v>1782.5353700000001</v>
      </c>
      <c r="P60" s="7">
        <v>6238.8737959999999</v>
      </c>
      <c r="Q60" s="7">
        <v>36.424999999999997</v>
      </c>
      <c r="R60" s="6">
        <v>2</v>
      </c>
      <c r="S60" s="6">
        <v>11</v>
      </c>
      <c r="T60" s="8">
        <f t="shared" si="1"/>
        <v>13.999999997329194</v>
      </c>
      <c r="U60" s="6">
        <v>41.9</v>
      </c>
      <c r="V60" s="6">
        <v>0.69499999999999995</v>
      </c>
      <c r="W60" s="10">
        <f t="shared" si="2"/>
        <v>60.287769784172667</v>
      </c>
      <c r="X60" s="9">
        <v>39.772739999999999</v>
      </c>
      <c r="Y60" s="10">
        <v>0.72697820000000002</v>
      </c>
      <c r="Z60" s="10">
        <f t="shared" si="3"/>
        <v>54.709673550045927</v>
      </c>
      <c r="AA60" s="7">
        <v>0.54323136504068581</v>
      </c>
      <c r="AB60" s="7">
        <v>5.4796608554825245E-2</v>
      </c>
    </row>
    <row r="61" spans="1:28">
      <c r="A61" s="6" t="s">
        <v>76</v>
      </c>
      <c r="B61" s="6" t="s">
        <v>3</v>
      </c>
      <c r="C61" s="6">
        <v>4</v>
      </c>
      <c r="D61" s="6">
        <v>-10</v>
      </c>
      <c r="E61" s="6">
        <v>0.6</v>
      </c>
      <c r="F61" s="6" t="s">
        <v>3</v>
      </c>
      <c r="G61" s="6">
        <v>0</v>
      </c>
      <c r="H61" s="6">
        <v>0</v>
      </c>
      <c r="I61" s="6">
        <v>0</v>
      </c>
      <c r="J61" s="7">
        <v>5.0929582010000001</v>
      </c>
      <c r="K61" s="7">
        <v>814.87331219999999</v>
      </c>
      <c r="L61" s="7">
        <v>1913.679044</v>
      </c>
      <c r="M61" s="7">
        <v>2728.5523560000001</v>
      </c>
      <c r="N61" s="7">
        <f t="shared" si="5"/>
        <v>0.85375021333671375</v>
      </c>
      <c r="O61" s="7">
        <v>1273.23955</v>
      </c>
      <c r="P61" s="7">
        <v>4710.9863359999999</v>
      </c>
      <c r="Q61" s="7">
        <v>39.936363640000003</v>
      </c>
      <c r="R61" s="6">
        <v>2</v>
      </c>
      <c r="S61" s="6">
        <v>7</v>
      </c>
      <c r="T61" s="8">
        <f t="shared" si="1"/>
        <v>9.9999999980922798</v>
      </c>
      <c r="U61" s="9">
        <v>41.740819999999999</v>
      </c>
      <c r="V61" s="10">
        <v>0.68314249999999999</v>
      </c>
      <c r="W61" s="10">
        <f t="shared" si="2"/>
        <v>61.101190454407387</v>
      </c>
      <c r="X61" s="9">
        <v>36.065179999999998</v>
      </c>
      <c r="Y61" s="10">
        <v>0.86060300000000001</v>
      </c>
      <c r="Z61" s="10">
        <f t="shared" si="3"/>
        <v>41.906872274440126</v>
      </c>
      <c r="AA61" s="7">
        <v>0.55160176068773636</v>
      </c>
      <c r="AB61" s="7">
        <v>5.5787148208625494E-2</v>
      </c>
    </row>
    <row r="62" spans="1:28">
      <c r="A62" s="6" t="s">
        <v>25</v>
      </c>
      <c r="B62" s="6" t="s">
        <v>3</v>
      </c>
      <c r="C62" s="6">
        <v>1</v>
      </c>
      <c r="D62" s="6">
        <v>-10</v>
      </c>
      <c r="E62" s="6">
        <v>0.6</v>
      </c>
      <c r="F62" s="6" t="s">
        <v>1</v>
      </c>
      <c r="G62" s="6">
        <v>2</v>
      </c>
      <c r="H62" s="6">
        <v>2</v>
      </c>
      <c r="I62" s="6">
        <v>255</v>
      </c>
      <c r="J62" s="7">
        <v>295.39157569999998</v>
      </c>
      <c r="K62" s="7">
        <v>311.94368980000002</v>
      </c>
      <c r="L62" s="7">
        <v>585.69019309999999</v>
      </c>
      <c r="M62" s="7">
        <v>897.6338829</v>
      </c>
      <c r="N62" s="7">
        <f t="shared" si="5"/>
        <v>0.62996827894886698</v>
      </c>
      <c r="O62" s="7">
        <v>509.29582010000001</v>
      </c>
      <c r="P62" s="7">
        <v>2419.1551450000002</v>
      </c>
      <c r="Q62" s="7">
        <v>27.35</v>
      </c>
      <c r="R62" s="6">
        <v>0</v>
      </c>
      <c r="S62" s="6">
        <v>1</v>
      </c>
      <c r="T62" s="8">
        <f t="shared" si="1"/>
        <v>4.0000000000223102</v>
      </c>
      <c r="U62" s="9">
        <v>41.115659999999998</v>
      </c>
      <c r="V62" s="10">
        <v>1.0075769999999999</v>
      </c>
      <c r="W62" s="10">
        <f t="shared" si="2"/>
        <v>40.806469381496399</v>
      </c>
      <c r="X62" s="9">
        <v>38.54683</v>
      </c>
      <c r="Y62" s="12">
        <v>1.058349</v>
      </c>
      <c r="Z62" s="10">
        <f t="shared" si="3"/>
        <v>36.421662419485443</v>
      </c>
      <c r="AA62" s="7">
        <v>0.63552118959107806</v>
      </c>
      <c r="AB62" s="7">
        <v>9.5352328731355435E-2</v>
      </c>
    </row>
    <row r="63" spans="1:28">
      <c r="A63" s="6" t="s">
        <v>42</v>
      </c>
      <c r="B63" s="6" t="s">
        <v>3</v>
      </c>
      <c r="C63" s="6">
        <v>2</v>
      </c>
      <c r="D63" s="6">
        <v>-10</v>
      </c>
      <c r="E63" s="6">
        <v>0.6</v>
      </c>
      <c r="F63" s="6" t="s">
        <v>1</v>
      </c>
      <c r="G63" s="6">
        <v>2</v>
      </c>
      <c r="H63" s="6">
        <v>2</v>
      </c>
      <c r="I63" s="6">
        <v>255</v>
      </c>
      <c r="J63" s="7">
        <v>412.52961429999999</v>
      </c>
      <c r="K63" s="7">
        <v>1462.952243</v>
      </c>
      <c r="L63" s="7">
        <v>3725.498924</v>
      </c>
      <c r="M63" s="7">
        <v>5188.4511670000002</v>
      </c>
      <c r="N63" s="7">
        <f t="shared" si="5"/>
        <v>0.93474430388503071</v>
      </c>
      <c r="O63" s="7">
        <v>2546.4791</v>
      </c>
      <c r="P63" s="7">
        <v>8912.6768520000005</v>
      </c>
      <c r="Q63" s="7">
        <v>49.825000000000003</v>
      </c>
      <c r="R63" s="6">
        <v>2</v>
      </c>
      <c r="S63" s="6">
        <v>17</v>
      </c>
      <c r="T63" s="8">
        <f t="shared" si="1"/>
        <v>19.99999999618456</v>
      </c>
      <c r="U63" s="6">
        <v>42.07</v>
      </c>
      <c r="V63" s="6">
        <v>0.85</v>
      </c>
      <c r="W63" s="10">
        <f t="shared" si="2"/>
        <v>49.494117647058822</v>
      </c>
      <c r="X63" s="9">
        <v>45.341430264173518</v>
      </c>
      <c r="Y63" s="10">
        <v>0.90807839999999995</v>
      </c>
      <c r="Z63" s="10">
        <f t="shared" si="3"/>
        <v>49.931184646803096</v>
      </c>
      <c r="AA63" s="7">
        <v>0.63357089394383159</v>
      </c>
      <c r="AB63" s="7">
        <v>7.3712255772646548E-2</v>
      </c>
    </row>
    <row r="64" spans="1:28">
      <c r="A64" s="6" t="s">
        <v>59</v>
      </c>
      <c r="B64" s="6" t="s">
        <v>3</v>
      </c>
      <c r="C64" s="6">
        <v>3</v>
      </c>
      <c r="D64" s="6">
        <v>-10</v>
      </c>
      <c r="E64" s="6">
        <v>0.6</v>
      </c>
      <c r="F64" s="6" t="s">
        <v>1</v>
      </c>
      <c r="G64" s="6">
        <v>2</v>
      </c>
      <c r="H64" s="6">
        <v>2</v>
      </c>
      <c r="I64" s="6">
        <v>255</v>
      </c>
      <c r="J64" s="7">
        <v>0</v>
      </c>
      <c r="K64" s="7">
        <v>2288.0114720000001</v>
      </c>
      <c r="L64" s="7">
        <v>5371.7976619999999</v>
      </c>
      <c r="M64" s="7">
        <v>7659.8091340000001</v>
      </c>
      <c r="N64" s="7">
        <f t="shared" si="5"/>
        <v>0.85347952515907666</v>
      </c>
      <c r="O64" s="7">
        <v>2164.507235</v>
      </c>
      <c r="P64" s="7">
        <v>8785.3528970000007</v>
      </c>
      <c r="Q64" s="7">
        <v>62.733333330000001</v>
      </c>
      <c r="R64" s="6">
        <v>7</v>
      </c>
      <c r="S64" s="6">
        <v>14</v>
      </c>
      <c r="T64" s="8">
        <f t="shared" si="1"/>
        <v>16.999999996756877</v>
      </c>
      <c r="U64" s="9">
        <v>41.601120000000002</v>
      </c>
      <c r="V64" s="12">
        <v>0.68790030000000002</v>
      </c>
      <c r="W64" s="10">
        <f t="shared" si="2"/>
        <v>60.475507860659462</v>
      </c>
      <c r="X64" s="9">
        <v>41.413519999999998</v>
      </c>
      <c r="Y64" s="10">
        <v>0.70274619999999999</v>
      </c>
      <c r="Z64" s="10">
        <f t="shared" si="3"/>
        <v>58.930976787921445</v>
      </c>
      <c r="AA64" s="7">
        <v>0.552184120949201</v>
      </c>
      <c r="AB64" s="7">
        <v>7.2673838506612465E-2</v>
      </c>
    </row>
    <row r="65" spans="1:28">
      <c r="A65" s="6" t="s">
        <v>75</v>
      </c>
      <c r="B65" s="6" t="s">
        <v>3</v>
      </c>
      <c r="C65" s="6">
        <v>4</v>
      </c>
      <c r="D65" s="6">
        <v>-10</v>
      </c>
      <c r="E65" s="6">
        <v>0.6</v>
      </c>
      <c r="F65" s="6" t="s">
        <v>1</v>
      </c>
      <c r="G65" s="6">
        <v>2</v>
      </c>
      <c r="H65" s="6">
        <v>3</v>
      </c>
      <c r="I65" s="6">
        <v>382</v>
      </c>
      <c r="J65" s="7">
        <v>439.26764480000003</v>
      </c>
      <c r="K65" s="7">
        <v>119.6845177</v>
      </c>
      <c r="L65" s="7">
        <v>266.10706599999997</v>
      </c>
      <c r="M65" s="7">
        <v>385.79158369999999</v>
      </c>
      <c r="N65" s="7">
        <f t="shared" si="5"/>
        <v>0.79903946988270136</v>
      </c>
      <c r="O65" s="7">
        <v>127.323955</v>
      </c>
      <c r="P65" s="7">
        <v>509.29582010000001</v>
      </c>
      <c r="Q65" s="7">
        <v>39.9</v>
      </c>
      <c r="R65" s="6">
        <v>0</v>
      </c>
      <c r="S65" s="6">
        <v>0</v>
      </c>
      <c r="T65" s="8">
        <f t="shared" si="1"/>
        <v>0.99999999980922805</v>
      </c>
      <c r="U65" s="9">
        <v>40.653509999999997</v>
      </c>
      <c r="V65" s="10">
        <v>1.0059709999999999</v>
      </c>
      <c r="W65" s="10">
        <f t="shared" si="2"/>
        <v>40.412208701841308</v>
      </c>
      <c r="X65" s="9">
        <v>35.435400000000001</v>
      </c>
      <c r="Y65" s="10">
        <v>0.92047880000000004</v>
      </c>
      <c r="Z65" s="10">
        <f t="shared" si="3"/>
        <v>38.496704106601911</v>
      </c>
      <c r="AA65" s="7">
        <v>0.53300089595192635</v>
      </c>
      <c r="AB65" s="7">
        <v>5.3951397232665316E-2</v>
      </c>
    </row>
    <row r="66" spans="1:28">
      <c r="A66" s="6" t="s">
        <v>18</v>
      </c>
      <c r="B66" s="6" t="s">
        <v>1</v>
      </c>
      <c r="C66" s="6">
        <v>1</v>
      </c>
      <c r="D66" s="6">
        <v>-15</v>
      </c>
      <c r="E66" s="6">
        <v>0.71</v>
      </c>
      <c r="F66" s="6" t="s">
        <v>0</v>
      </c>
      <c r="G66" s="6">
        <v>8</v>
      </c>
      <c r="H66" s="6">
        <v>7</v>
      </c>
      <c r="I66" s="6">
        <v>891</v>
      </c>
      <c r="J66" s="7">
        <v>1010.9522030000001</v>
      </c>
      <c r="K66" s="7">
        <v>496.56342460000002</v>
      </c>
      <c r="L66" s="7">
        <v>1395.4705469999999</v>
      </c>
      <c r="M66" s="7">
        <v>1892.0339719999999</v>
      </c>
      <c r="N66" s="7">
        <f t="shared" si="5"/>
        <v>1.0332757283262053</v>
      </c>
      <c r="O66" s="7">
        <v>1018.59164</v>
      </c>
      <c r="P66" s="7">
        <v>3565.070741</v>
      </c>
      <c r="Q66" s="7">
        <v>46.037500000000001</v>
      </c>
      <c r="R66" s="6">
        <v>0</v>
      </c>
      <c r="S66" s="6">
        <v>1</v>
      </c>
      <c r="T66" s="8">
        <f t="shared" si="1"/>
        <v>7.9999999984738244</v>
      </c>
      <c r="U66" s="9">
        <v>39.072850000000003</v>
      </c>
      <c r="V66" s="10">
        <v>0.97109089999999998</v>
      </c>
      <c r="W66" s="10">
        <f t="shared" si="2"/>
        <v>40.236037635611666</v>
      </c>
      <c r="X66" s="9">
        <v>39.670310000000001</v>
      </c>
      <c r="Y66" s="10">
        <v>0.72027370000000002</v>
      </c>
      <c r="Z66" s="10">
        <f t="shared" si="3"/>
        <v>55.076715976162951</v>
      </c>
      <c r="AA66" s="7">
        <v>0.59495212609905501</v>
      </c>
      <c r="AB66" s="7">
        <v>8.4370404512631295E-2</v>
      </c>
    </row>
    <row r="67" spans="1:28">
      <c r="A67" s="6" t="s">
        <v>82</v>
      </c>
      <c r="B67" s="6" t="s">
        <v>1</v>
      </c>
      <c r="C67" s="6">
        <v>2</v>
      </c>
      <c r="D67" s="6">
        <v>-15</v>
      </c>
      <c r="E67" s="6">
        <v>0.71</v>
      </c>
      <c r="F67" s="6" t="s">
        <v>0</v>
      </c>
      <c r="G67" s="6">
        <v>8</v>
      </c>
      <c r="H67" s="6"/>
      <c r="I67" s="6"/>
      <c r="J67" s="7"/>
      <c r="K67" s="7"/>
      <c r="L67" s="7"/>
      <c r="M67" s="7"/>
      <c r="N67" s="7"/>
      <c r="O67" s="7"/>
      <c r="P67" s="7"/>
      <c r="Q67" s="7"/>
      <c r="R67" s="6"/>
      <c r="S67" s="6"/>
      <c r="T67" s="8"/>
      <c r="U67" s="6"/>
      <c r="V67" s="6"/>
      <c r="W67" s="10"/>
      <c r="X67" s="9"/>
      <c r="Y67" s="10"/>
      <c r="Z67" s="10"/>
      <c r="AA67" s="7"/>
      <c r="AB67" s="7"/>
    </row>
    <row r="68" spans="1:28">
      <c r="A68" s="6" t="s">
        <v>50</v>
      </c>
      <c r="B68" s="6" t="s">
        <v>1</v>
      </c>
      <c r="C68" s="6">
        <v>3</v>
      </c>
      <c r="D68" s="6">
        <v>-15</v>
      </c>
      <c r="E68" s="6">
        <v>0.71</v>
      </c>
      <c r="F68" s="6" t="s">
        <v>0</v>
      </c>
      <c r="G68" s="6">
        <v>8</v>
      </c>
      <c r="H68" s="6">
        <v>7</v>
      </c>
      <c r="I68" s="6">
        <v>891</v>
      </c>
      <c r="J68" s="7">
        <v>752.4845742</v>
      </c>
      <c r="K68" s="7">
        <v>278.83946150000003</v>
      </c>
      <c r="L68" s="7">
        <v>374.3324278</v>
      </c>
      <c r="M68" s="7">
        <v>653.17188929999998</v>
      </c>
      <c r="N68" s="7">
        <f>LN(L68/K68)</f>
        <v>0.29450803761000838</v>
      </c>
      <c r="O68" s="7">
        <v>254.64791</v>
      </c>
      <c r="P68" s="7">
        <v>1018.59164</v>
      </c>
      <c r="Q68" s="7">
        <v>30.166666670000001</v>
      </c>
      <c r="R68" s="6">
        <v>0</v>
      </c>
      <c r="S68" s="6">
        <v>0</v>
      </c>
      <c r="T68" s="8">
        <f t="shared" ref="T68:T81" si="6">O68*78.539816/10000</f>
        <v>1.9999999996184561</v>
      </c>
      <c r="U68" s="9">
        <v>42.590499999999999</v>
      </c>
      <c r="V68" s="12">
        <v>1.651645</v>
      </c>
      <c r="W68" s="10">
        <f t="shared" ref="W68:W81" si="7">U68/V68</f>
        <v>25.786715668318553</v>
      </c>
      <c r="X68" s="9">
        <v>38.755989999999997</v>
      </c>
      <c r="Y68" s="12">
        <v>1.0749109999999999</v>
      </c>
      <c r="Z68" s="10">
        <f t="shared" ref="Z68:Z81" si="8">X68/Y68</f>
        <v>36.05506874522635</v>
      </c>
      <c r="AA68" s="7">
        <v>0.56123523120584096</v>
      </c>
      <c r="AB68" s="7">
        <v>6.9172008752063308E-2</v>
      </c>
    </row>
    <row r="69" spans="1:28">
      <c r="A69" s="6" t="s">
        <v>68</v>
      </c>
      <c r="B69" s="6" t="s">
        <v>1</v>
      </c>
      <c r="C69" s="6">
        <v>4</v>
      </c>
      <c r="D69" s="6">
        <v>-15</v>
      </c>
      <c r="E69" s="6">
        <v>0.71</v>
      </c>
      <c r="F69" s="6" t="s">
        <v>0</v>
      </c>
      <c r="G69" s="6">
        <v>8</v>
      </c>
      <c r="H69" s="6">
        <v>5</v>
      </c>
      <c r="I69" s="6">
        <v>637</v>
      </c>
      <c r="J69" s="7">
        <v>826.33246810000003</v>
      </c>
      <c r="K69" s="7">
        <v>474.91835220000002</v>
      </c>
      <c r="L69" s="7">
        <v>1354.726881</v>
      </c>
      <c r="M69" s="7">
        <v>1829.6452340000001</v>
      </c>
      <c r="N69" s="7">
        <f>LN(L69/K69)</f>
        <v>1.0482122500048616</v>
      </c>
      <c r="O69" s="7">
        <v>1655.211415</v>
      </c>
      <c r="P69" s="7">
        <v>5729.5779759999996</v>
      </c>
      <c r="Q69" s="7">
        <v>30.58666667</v>
      </c>
      <c r="R69" s="6">
        <v>1</v>
      </c>
      <c r="S69" s="6">
        <v>10</v>
      </c>
      <c r="T69" s="8">
        <f t="shared" si="6"/>
        <v>12.999999997519964</v>
      </c>
      <c r="U69" s="9">
        <v>40.874180000000003</v>
      </c>
      <c r="V69" s="10">
        <v>0.91041899999999998</v>
      </c>
      <c r="W69" s="10">
        <f t="shared" si="7"/>
        <v>44.896009419838563</v>
      </c>
      <c r="X69" s="9">
        <v>38.68224</v>
      </c>
      <c r="Y69" s="10">
        <v>0.95117910000000006</v>
      </c>
      <c r="Z69" s="10">
        <f t="shared" si="8"/>
        <v>40.667672365803661</v>
      </c>
      <c r="AA69" s="7">
        <v>0.58676819511118461</v>
      </c>
      <c r="AB69" s="7">
        <v>6.3788794994563539E-2</v>
      </c>
    </row>
    <row r="70" spans="1:28">
      <c r="A70" s="6" t="s">
        <v>16</v>
      </c>
      <c r="B70" s="6" t="s">
        <v>1</v>
      </c>
      <c r="C70" s="6">
        <v>1</v>
      </c>
      <c r="D70" s="6">
        <v>-15</v>
      </c>
      <c r="E70" s="6">
        <v>0.71</v>
      </c>
      <c r="F70" s="6" t="s">
        <v>2</v>
      </c>
      <c r="G70" s="6">
        <v>4</v>
      </c>
      <c r="H70" s="6">
        <v>2</v>
      </c>
      <c r="I70" s="6">
        <v>255</v>
      </c>
      <c r="J70" s="7">
        <v>431.62820749999997</v>
      </c>
      <c r="K70" s="7">
        <v>1316.5296949999999</v>
      </c>
      <c r="L70" s="7">
        <v>11.45915595</v>
      </c>
      <c r="M70" s="7">
        <v>1327.9888510000001</v>
      </c>
      <c r="N70" s="7">
        <f>LN(L70/K70)</f>
        <v>-4.7439654779600264</v>
      </c>
      <c r="O70" s="7">
        <v>0</v>
      </c>
      <c r="P70" s="7">
        <v>0</v>
      </c>
      <c r="Q70" s="7">
        <v>5</v>
      </c>
      <c r="R70" s="6">
        <v>0</v>
      </c>
      <c r="S70" s="6">
        <v>0</v>
      </c>
      <c r="T70" s="8">
        <f t="shared" si="6"/>
        <v>0</v>
      </c>
      <c r="U70" s="9">
        <v>40.367809999999999</v>
      </c>
      <c r="V70" s="10">
        <v>1.0843370000000001</v>
      </c>
      <c r="W70" s="10">
        <f t="shared" si="7"/>
        <v>37.228103440166656</v>
      </c>
      <c r="X70" s="9">
        <v>32.345280000000002</v>
      </c>
      <c r="Y70" s="12">
        <v>1.1305419999999999</v>
      </c>
      <c r="Z70" s="10">
        <f t="shared" si="8"/>
        <v>28.610418719516836</v>
      </c>
      <c r="AA70" s="7">
        <v>0.60793554401840622</v>
      </c>
      <c r="AB70" s="7">
        <v>8.023735247278517E-2</v>
      </c>
    </row>
    <row r="71" spans="1:28">
      <c r="A71" s="6" t="s">
        <v>83</v>
      </c>
      <c r="B71" s="6" t="s">
        <v>1</v>
      </c>
      <c r="C71" s="6">
        <v>2</v>
      </c>
      <c r="D71" s="6">
        <v>-15</v>
      </c>
      <c r="E71" s="6">
        <v>0.71</v>
      </c>
      <c r="F71" s="6" t="s">
        <v>2</v>
      </c>
      <c r="G71" s="6">
        <v>4</v>
      </c>
      <c r="H71" s="6"/>
      <c r="I71" s="6"/>
      <c r="J71" s="7"/>
      <c r="K71" s="7"/>
      <c r="L71" s="7"/>
      <c r="M71" s="7"/>
      <c r="N71" s="7"/>
      <c r="O71" s="7"/>
      <c r="P71" s="7"/>
      <c r="Q71" s="7"/>
      <c r="R71" s="6"/>
      <c r="S71" s="6"/>
      <c r="T71" s="8"/>
      <c r="U71" s="6"/>
      <c r="V71" s="6"/>
      <c r="W71" s="10"/>
      <c r="X71" s="9"/>
      <c r="Y71" s="10"/>
      <c r="Z71" s="10"/>
      <c r="AA71" s="7"/>
      <c r="AB71" s="7"/>
    </row>
    <row r="72" spans="1:28">
      <c r="A72" s="6" t="s">
        <v>84</v>
      </c>
      <c r="B72" s="6" t="s">
        <v>1</v>
      </c>
      <c r="C72" s="6">
        <v>3</v>
      </c>
      <c r="D72" s="6">
        <v>-15</v>
      </c>
      <c r="E72" s="6">
        <v>0.71</v>
      </c>
      <c r="F72" s="6" t="s">
        <v>2</v>
      </c>
      <c r="G72" s="6">
        <v>4</v>
      </c>
      <c r="H72" s="6"/>
      <c r="I72" s="6"/>
      <c r="J72" s="7"/>
      <c r="K72" s="7"/>
      <c r="L72" s="7"/>
      <c r="M72" s="7"/>
      <c r="N72" s="7"/>
      <c r="O72" s="7"/>
      <c r="P72" s="7"/>
      <c r="Q72" s="7"/>
      <c r="R72" s="6"/>
      <c r="S72" s="6"/>
      <c r="T72" s="8"/>
      <c r="U72" s="9"/>
      <c r="V72" s="12"/>
      <c r="W72" s="10"/>
      <c r="X72" s="9"/>
      <c r="Y72" s="12"/>
      <c r="Z72" s="10"/>
      <c r="AA72" s="7"/>
      <c r="AB72" s="7"/>
    </row>
    <row r="73" spans="1:28">
      <c r="A73" s="6" t="s">
        <v>70</v>
      </c>
      <c r="B73" s="6" t="s">
        <v>1</v>
      </c>
      <c r="C73" s="6">
        <v>4</v>
      </c>
      <c r="D73" s="6">
        <v>-15</v>
      </c>
      <c r="E73" s="6">
        <v>0.71</v>
      </c>
      <c r="F73" s="6" t="s">
        <v>2</v>
      </c>
      <c r="G73" s="6">
        <v>4</v>
      </c>
      <c r="H73" s="6">
        <v>4</v>
      </c>
      <c r="I73" s="6">
        <v>509</v>
      </c>
      <c r="J73" s="7">
        <v>558.95216259999995</v>
      </c>
      <c r="K73" s="7">
        <v>808.50711439999998</v>
      </c>
      <c r="L73" s="7">
        <v>2790.9410939999998</v>
      </c>
      <c r="M73" s="7">
        <v>3599.4482090000001</v>
      </c>
      <c r="N73" s="7">
        <f t="shared" ref="N73:N81" si="9">LN(L73/K73)</f>
        <v>1.2389446491330083</v>
      </c>
      <c r="O73" s="7">
        <v>2673.8030560000002</v>
      </c>
      <c r="P73" s="7">
        <v>7766.7612559999998</v>
      </c>
      <c r="Q73" s="7">
        <v>33.361904760000002</v>
      </c>
      <c r="R73" s="6">
        <v>1</v>
      </c>
      <c r="S73" s="6">
        <v>18</v>
      </c>
      <c r="T73" s="8">
        <f t="shared" si="6"/>
        <v>21.00000000384777</v>
      </c>
      <c r="U73" s="9">
        <v>40.381149999999998</v>
      </c>
      <c r="V73" s="10">
        <v>0.91003109999999998</v>
      </c>
      <c r="W73" s="10">
        <f t="shared" si="7"/>
        <v>44.373373613275412</v>
      </c>
      <c r="X73" s="9">
        <v>31.96022</v>
      </c>
      <c r="Y73" s="12">
        <v>1.0834140000000001</v>
      </c>
      <c r="Z73" s="10">
        <f t="shared" si="8"/>
        <v>29.499544956960126</v>
      </c>
      <c r="AA73" s="7">
        <v>0.60799221649444091</v>
      </c>
      <c r="AB73" s="7">
        <v>8.4686055122995901E-2</v>
      </c>
    </row>
    <row r="74" spans="1:28">
      <c r="A74" s="6" t="s">
        <v>17</v>
      </c>
      <c r="B74" s="6" t="s">
        <v>1</v>
      </c>
      <c r="C74" s="6">
        <v>1</v>
      </c>
      <c r="D74" s="6">
        <v>-15</v>
      </c>
      <c r="E74" s="6">
        <v>0.71</v>
      </c>
      <c r="F74" s="6" t="s">
        <v>3</v>
      </c>
      <c r="G74" s="6">
        <v>0</v>
      </c>
      <c r="H74" s="6">
        <v>0</v>
      </c>
      <c r="I74" s="6">
        <v>0</v>
      </c>
      <c r="J74" s="7">
        <v>0</v>
      </c>
      <c r="K74" s="7">
        <v>336.13524130000002</v>
      </c>
      <c r="L74" s="7">
        <v>1294.8846229999999</v>
      </c>
      <c r="M74" s="7">
        <v>1631.0198640000001</v>
      </c>
      <c r="N74" s="7">
        <f t="shared" si="9"/>
        <v>1.3486632931067195</v>
      </c>
      <c r="O74" s="7">
        <v>1018.59164</v>
      </c>
      <c r="P74" s="7">
        <v>3819.7186510000001</v>
      </c>
      <c r="Q74" s="7">
        <v>36.15</v>
      </c>
      <c r="R74" s="6">
        <v>1</v>
      </c>
      <c r="S74" s="6">
        <v>5</v>
      </c>
      <c r="T74" s="8">
        <f t="shared" si="6"/>
        <v>7.9999999984738244</v>
      </c>
      <c r="U74" s="9">
        <v>39.044280000000001</v>
      </c>
      <c r="V74" s="10">
        <v>1.0294220000000001</v>
      </c>
      <c r="W74" s="10">
        <f t="shared" si="7"/>
        <v>37.928352026671277</v>
      </c>
      <c r="X74" s="9">
        <v>39.344889999999999</v>
      </c>
      <c r="Y74" s="10">
        <v>0.91139239999999999</v>
      </c>
      <c r="Z74" s="10">
        <f t="shared" si="8"/>
        <v>43.170087878722711</v>
      </c>
      <c r="AA74" s="7">
        <v>0.61614755099548069</v>
      </c>
      <c r="AB74" s="7">
        <v>8.4282653429219867E-2</v>
      </c>
    </row>
    <row r="75" spans="1:28">
      <c r="A75" s="6" t="s">
        <v>35</v>
      </c>
      <c r="B75" s="6" t="s">
        <v>1</v>
      </c>
      <c r="C75" s="6">
        <v>2</v>
      </c>
      <c r="D75" s="6">
        <v>-15</v>
      </c>
      <c r="E75" s="6">
        <v>0.71</v>
      </c>
      <c r="F75" s="6" t="s">
        <v>3</v>
      </c>
      <c r="G75" s="6">
        <v>0</v>
      </c>
      <c r="H75" s="6">
        <v>0</v>
      </c>
      <c r="I75" s="6">
        <v>0</v>
      </c>
      <c r="J75" s="7">
        <v>0</v>
      </c>
      <c r="K75" s="7">
        <v>157.8817042</v>
      </c>
      <c r="L75" s="7">
        <v>157.8817042</v>
      </c>
      <c r="M75" s="7">
        <v>315.76340850000003</v>
      </c>
      <c r="N75" s="7">
        <f t="shared" si="9"/>
        <v>0</v>
      </c>
      <c r="O75" s="7">
        <v>0</v>
      </c>
      <c r="P75" s="7">
        <v>0</v>
      </c>
      <c r="Q75" s="7">
        <v>6.8</v>
      </c>
      <c r="R75" s="6">
        <v>0</v>
      </c>
      <c r="S75" s="6">
        <v>0</v>
      </c>
      <c r="T75" s="8">
        <f t="shared" si="6"/>
        <v>0</v>
      </c>
      <c r="U75" s="6">
        <v>42.75</v>
      </c>
      <c r="V75" s="6">
        <v>0.89800000000000002</v>
      </c>
      <c r="W75" s="10">
        <f t="shared" si="7"/>
        <v>47.605790645879729</v>
      </c>
      <c r="X75" s="9">
        <v>37.901708953152578</v>
      </c>
      <c r="Y75" s="10">
        <v>0.91647509999999999</v>
      </c>
      <c r="Z75" s="10">
        <f t="shared" si="8"/>
        <v>41.355961502011979</v>
      </c>
      <c r="AA75" s="7">
        <v>0.59454470564903661</v>
      </c>
      <c r="AB75" s="7">
        <v>8.6782301151328095E-2</v>
      </c>
    </row>
    <row r="76" spans="1:28">
      <c r="A76" s="6" t="s">
        <v>52</v>
      </c>
      <c r="B76" s="6" t="s">
        <v>1</v>
      </c>
      <c r="C76" s="6">
        <v>3</v>
      </c>
      <c r="D76" s="6">
        <v>-15</v>
      </c>
      <c r="E76" s="6">
        <v>0.71</v>
      </c>
      <c r="F76" s="6" t="s">
        <v>3</v>
      </c>
      <c r="G76" s="6">
        <v>0</v>
      </c>
      <c r="H76" s="6">
        <v>0</v>
      </c>
      <c r="I76" s="6">
        <v>0</v>
      </c>
      <c r="J76" s="7">
        <v>0</v>
      </c>
      <c r="K76" s="7">
        <v>1410.7494220000001</v>
      </c>
      <c r="L76" s="7">
        <v>2766.7495429999999</v>
      </c>
      <c r="M76" s="7">
        <v>4177.4989640000003</v>
      </c>
      <c r="N76" s="7">
        <f t="shared" si="9"/>
        <v>0.67355211283111427</v>
      </c>
      <c r="O76" s="7">
        <v>2037.18328</v>
      </c>
      <c r="P76" s="7">
        <v>6111.549841</v>
      </c>
      <c r="Q76" s="7">
        <v>29.610526320000002</v>
      </c>
      <c r="R76" s="6">
        <v>3</v>
      </c>
      <c r="S76" s="6">
        <v>13</v>
      </c>
      <c r="T76" s="8">
        <f t="shared" si="6"/>
        <v>15.999999996947649</v>
      </c>
      <c r="U76" s="9">
        <v>41.465499999999999</v>
      </c>
      <c r="V76" s="12">
        <v>0.7130495</v>
      </c>
      <c r="W76" s="10">
        <f t="shared" si="7"/>
        <v>58.152344262214612</v>
      </c>
      <c r="X76" s="9">
        <v>38.882170000000002</v>
      </c>
      <c r="Y76" s="10">
        <v>0.70695629999999998</v>
      </c>
      <c r="Z76" s="10">
        <f t="shared" si="8"/>
        <v>54.999396709527879</v>
      </c>
      <c r="AA76" s="7">
        <v>0.58034285145591613</v>
      </c>
      <c r="AB76" s="7">
        <v>6.3318906740973541E-2</v>
      </c>
    </row>
    <row r="77" spans="1:28">
      <c r="A77" s="6" t="s">
        <v>67</v>
      </c>
      <c r="B77" s="6" t="s">
        <v>1</v>
      </c>
      <c r="C77" s="6">
        <v>4</v>
      </c>
      <c r="D77" s="6">
        <v>-15</v>
      </c>
      <c r="E77" s="6">
        <v>0.71</v>
      </c>
      <c r="F77" s="6" t="s">
        <v>3</v>
      </c>
      <c r="G77" s="6">
        <v>0</v>
      </c>
      <c r="H77" s="6">
        <v>0</v>
      </c>
      <c r="I77" s="6">
        <v>0</v>
      </c>
      <c r="J77" s="7">
        <v>0</v>
      </c>
      <c r="K77" s="7">
        <v>300.48453389999997</v>
      </c>
      <c r="L77" s="7">
        <v>514.38877830000001</v>
      </c>
      <c r="M77" s="7">
        <v>814.87331219999999</v>
      </c>
      <c r="N77" s="7">
        <f t="shared" si="9"/>
        <v>0.53758307279714979</v>
      </c>
      <c r="O77" s="7">
        <v>891.26768519999996</v>
      </c>
      <c r="P77" s="7">
        <v>3183.098876</v>
      </c>
      <c r="Q77" s="7">
        <v>28.18571429</v>
      </c>
      <c r="R77" s="6">
        <v>1</v>
      </c>
      <c r="S77" s="6">
        <v>4</v>
      </c>
      <c r="T77" s="8">
        <f t="shared" si="6"/>
        <v>7.0000000002353922</v>
      </c>
      <c r="U77" s="9">
        <v>41.842120000000001</v>
      </c>
      <c r="V77" s="10">
        <v>0.85911519999999997</v>
      </c>
      <c r="W77" s="10">
        <f t="shared" si="7"/>
        <v>48.703736122932064</v>
      </c>
      <c r="X77" s="9">
        <v>41.404020000000003</v>
      </c>
      <c r="Y77" s="12">
        <v>1.101299</v>
      </c>
      <c r="Z77" s="10">
        <f t="shared" si="8"/>
        <v>37.595621170998974</v>
      </c>
      <c r="AA77" s="7">
        <v>0.58161997147408895</v>
      </c>
      <c r="AB77" s="7">
        <v>6.0645933014354031E-2</v>
      </c>
    </row>
    <row r="78" spans="1:28">
      <c r="A78" s="6" t="s">
        <v>19</v>
      </c>
      <c r="B78" s="6" t="s">
        <v>1</v>
      </c>
      <c r="C78" s="6">
        <v>1</v>
      </c>
      <c r="D78" s="6">
        <v>-15</v>
      </c>
      <c r="E78" s="6">
        <v>0.71</v>
      </c>
      <c r="F78" s="6" t="s">
        <v>1</v>
      </c>
      <c r="G78" s="6">
        <v>2</v>
      </c>
      <c r="H78" s="6">
        <v>2</v>
      </c>
      <c r="I78" s="6">
        <v>255</v>
      </c>
      <c r="J78" s="7">
        <v>444.36060300000003</v>
      </c>
      <c r="K78" s="7">
        <v>628.98033780000003</v>
      </c>
      <c r="L78" s="7">
        <v>1684.4959249999999</v>
      </c>
      <c r="M78" s="7">
        <v>2313.476263</v>
      </c>
      <c r="N78" s="7">
        <f t="shared" si="9"/>
        <v>0.98512164697582294</v>
      </c>
      <c r="O78" s="7">
        <v>509.29582010000001</v>
      </c>
      <c r="P78" s="7">
        <v>2291.8311899999999</v>
      </c>
      <c r="Q78" s="7">
        <v>51.4</v>
      </c>
      <c r="R78" s="6">
        <v>1</v>
      </c>
      <c r="S78" s="6">
        <v>1</v>
      </c>
      <c r="T78" s="8">
        <f t="shared" si="6"/>
        <v>4.0000000000223102</v>
      </c>
      <c r="U78" s="9">
        <v>39.823250000000002</v>
      </c>
      <c r="V78" s="12">
        <v>1.0793330000000001</v>
      </c>
      <c r="W78" s="10">
        <f t="shared" si="7"/>
        <v>36.896166428711062</v>
      </c>
      <c r="X78" s="9">
        <v>39.922580000000004</v>
      </c>
      <c r="Y78" s="10">
        <v>0.87238979999999999</v>
      </c>
      <c r="Z78" s="10">
        <f t="shared" si="8"/>
        <v>45.762318633253166</v>
      </c>
      <c r="AA78" s="7">
        <v>0.60814288285045892</v>
      </c>
      <c r="AB78" s="7">
        <v>8.6519253289247144E-2</v>
      </c>
    </row>
    <row r="79" spans="1:28">
      <c r="A79" s="6" t="s">
        <v>36</v>
      </c>
      <c r="B79" s="6" t="s">
        <v>1</v>
      </c>
      <c r="C79" s="6">
        <v>2</v>
      </c>
      <c r="D79" s="6">
        <v>-15</v>
      </c>
      <c r="E79" s="6">
        <v>0.71</v>
      </c>
      <c r="F79" s="6" t="s">
        <v>1</v>
      </c>
      <c r="G79" s="6">
        <v>2</v>
      </c>
      <c r="H79" s="6">
        <v>2</v>
      </c>
      <c r="I79" s="6">
        <v>255</v>
      </c>
      <c r="J79" s="7">
        <v>252.1014309</v>
      </c>
      <c r="K79" s="7">
        <v>879.80852919999995</v>
      </c>
      <c r="L79" s="7">
        <v>2322.3889399999998</v>
      </c>
      <c r="M79" s="7">
        <v>3202.1974690000002</v>
      </c>
      <c r="N79" s="7">
        <f t="shared" si="9"/>
        <v>0.97064734704058808</v>
      </c>
      <c r="O79" s="7">
        <v>763.94373010000004</v>
      </c>
      <c r="P79" s="7">
        <v>2928.4509659999999</v>
      </c>
      <c r="Q79" s="7">
        <v>65.033333330000005</v>
      </c>
      <c r="R79" s="6">
        <v>2</v>
      </c>
      <c r="S79" s="6">
        <v>3</v>
      </c>
      <c r="T79" s="8">
        <f t="shared" si="6"/>
        <v>5.9999999996407665</v>
      </c>
      <c r="U79" s="6">
        <v>41.55</v>
      </c>
      <c r="V79" s="6">
        <v>0.76200000000000001</v>
      </c>
      <c r="W79" s="10">
        <f t="shared" si="7"/>
        <v>54.527559055118104</v>
      </c>
      <c r="X79" s="9">
        <v>39.732663264363708</v>
      </c>
      <c r="Y79" s="10">
        <v>0.7462799</v>
      </c>
      <c r="Z79" s="10">
        <f t="shared" si="8"/>
        <v>53.240966645843883</v>
      </c>
      <c r="AA79" s="7">
        <v>0.62727229803106854</v>
      </c>
      <c r="AB79" s="7">
        <v>6.4479351406131175E-2</v>
      </c>
    </row>
    <row r="80" spans="1:28">
      <c r="A80" s="6" t="s">
        <v>51</v>
      </c>
      <c r="B80" s="6" t="s">
        <v>1</v>
      </c>
      <c r="C80" s="6">
        <v>3</v>
      </c>
      <c r="D80" s="6">
        <v>-15</v>
      </c>
      <c r="E80" s="6">
        <v>0.71</v>
      </c>
      <c r="F80" s="6" t="s">
        <v>1</v>
      </c>
      <c r="G80" s="6">
        <v>2</v>
      </c>
      <c r="H80" s="6">
        <v>2</v>
      </c>
      <c r="I80" s="6">
        <v>255</v>
      </c>
      <c r="J80" s="7">
        <v>347.5943972</v>
      </c>
      <c r="K80" s="7">
        <v>951.10994400000004</v>
      </c>
      <c r="L80" s="7">
        <v>2966.6481520000002</v>
      </c>
      <c r="M80" s="7">
        <v>3917.758096</v>
      </c>
      <c r="N80" s="7">
        <f t="shared" si="9"/>
        <v>1.1375583614377589</v>
      </c>
      <c r="O80" s="7">
        <v>2419.1551450000002</v>
      </c>
      <c r="P80" s="7">
        <v>7894.085212</v>
      </c>
      <c r="Q80" s="7">
        <v>36.485714289999997</v>
      </c>
      <c r="R80" s="6">
        <v>3</v>
      </c>
      <c r="S80" s="6">
        <v>16</v>
      </c>
      <c r="T80" s="8">
        <f t="shared" si="6"/>
        <v>18.999999996375333</v>
      </c>
      <c r="U80" s="9">
        <v>41.597549999999998</v>
      </c>
      <c r="V80" s="12">
        <v>0.95071300000000003</v>
      </c>
      <c r="W80" s="10">
        <f t="shared" si="7"/>
        <v>43.754056166266786</v>
      </c>
      <c r="X80" s="9">
        <v>43.689160000000001</v>
      </c>
      <c r="Y80" s="12">
        <v>1.076775</v>
      </c>
      <c r="Z80" s="10">
        <f t="shared" si="8"/>
        <v>40.574084650925215</v>
      </c>
      <c r="AA80" s="7">
        <v>0.56628647489698158</v>
      </c>
      <c r="AB80" s="7">
        <v>6.5698796287788283E-2</v>
      </c>
    </row>
    <row r="81" spans="1:28">
      <c r="A81" s="6" t="s">
        <v>69</v>
      </c>
      <c r="B81" s="6" t="s">
        <v>1</v>
      </c>
      <c r="C81" s="6">
        <v>4</v>
      </c>
      <c r="D81" s="6">
        <v>-15</v>
      </c>
      <c r="E81" s="6">
        <v>0.71</v>
      </c>
      <c r="F81" s="6" t="s">
        <v>1</v>
      </c>
      <c r="G81" s="6">
        <v>2</v>
      </c>
      <c r="H81" s="6">
        <v>2</v>
      </c>
      <c r="I81" s="6">
        <v>255</v>
      </c>
      <c r="J81" s="7">
        <v>297.93805479999997</v>
      </c>
      <c r="K81" s="7">
        <v>496.56342460000002</v>
      </c>
      <c r="L81" s="7">
        <v>2206.5241409999999</v>
      </c>
      <c r="M81" s="7">
        <v>2703.0875649999998</v>
      </c>
      <c r="N81" s="7">
        <f t="shared" si="9"/>
        <v>1.4914625507757509</v>
      </c>
      <c r="O81" s="7">
        <v>763.94373010000004</v>
      </c>
      <c r="P81" s="7">
        <v>3310.4228309999999</v>
      </c>
      <c r="Q81" s="7">
        <v>72.466666669999995</v>
      </c>
      <c r="R81" s="6">
        <v>2</v>
      </c>
      <c r="S81" s="6">
        <v>3</v>
      </c>
      <c r="T81" s="8">
        <f t="shared" si="6"/>
        <v>5.9999999996407665</v>
      </c>
      <c r="U81" s="9">
        <v>42.124650000000003</v>
      </c>
      <c r="V81" s="10">
        <v>0.77043059999999997</v>
      </c>
      <c r="W81" s="10">
        <f t="shared" si="7"/>
        <v>54.676761281288677</v>
      </c>
      <c r="X81" s="9">
        <v>37.864429999999999</v>
      </c>
      <c r="Y81" s="10">
        <v>0.9173789</v>
      </c>
      <c r="Z81" s="10">
        <f t="shared" si="8"/>
        <v>41.274581309860082</v>
      </c>
      <c r="AA81" s="7">
        <v>0.59382570389349276</v>
      </c>
      <c r="AB81" s="7">
        <v>6.3767617738054241E-2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Yaolin Guo</cp:lastModifiedBy>
  <dcterms:created xsi:type="dcterms:W3CDTF">2023-02-22T20:23:09Z</dcterms:created>
  <dcterms:modified xsi:type="dcterms:W3CDTF">2026-04-22T20:33:51Z</dcterms:modified>
</cp:coreProperties>
</file>